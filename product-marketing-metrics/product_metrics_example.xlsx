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tem\IdeaProjects\stats-map\product-marketing-metrics\"/>
    </mc:Choice>
  </mc:AlternateContent>
  <xr:revisionPtr revIDLastSave="0" documentId="13_ncr:1_{DBE37340-F173-4122-8FF2-89ECC610C465}" xr6:coauthVersionLast="47" xr6:coauthVersionMax="47" xr10:uidLastSave="{00000000-0000-0000-0000-000000000000}"/>
  <bookViews>
    <workbookView xWindow="-120" yWindow="-120" windowWidth="38640" windowHeight="21120" activeTab="7" xr2:uid="{00000000-000D-0000-FFFF-FFFF00000000}"/>
  </bookViews>
  <sheets>
    <sheet name="Загальні" sheetId="1" r:id="rId1"/>
    <sheet name="2_Paid" sheetId="2" r:id="rId2"/>
    <sheet name="3_SEO" sheetId="3" r:id="rId3"/>
    <sheet name="4_Email" sheetId="4" r:id="rId4"/>
    <sheet name="5_Content" sheetId="5" r:id="rId5"/>
    <sheet name="6_Referral" sheetId="6" r:id="rId6"/>
    <sheet name="7_Product" sheetId="7" r:id="rId7"/>
    <sheet name="8_Monetizat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8" l="1"/>
  <c r="D24" i="8"/>
  <c r="D23" i="8"/>
  <c r="D22" i="8"/>
  <c r="D20" i="8"/>
  <c r="D19" i="8"/>
  <c r="D21" i="2"/>
  <c r="D20" i="2"/>
  <c r="D19" i="2"/>
  <c r="D21" i="8"/>
  <c r="H15" i="8"/>
  <c r="G15" i="8"/>
  <c r="F15" i="8"/>
  <c r="E15" i="8"/>
  <c r="D15" i="8"/>
  <c r="C15" i="8"/>
  <c r="B15" i="8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D25" i="6"/>
  <c r="D24" i="6"/>
  <c r="D23" i="6"/>
  <c r="D22" i="6"/>
  <c r="D21" i="6"/>
  <c r="D20" i="6"/>
  <c r="D19" i="6"/>
  <c r="H15" i="6"/>
  <c r="G15" i="6"/>
  <c r="F15" i="6"/>
  <c r="E15" i="6"/>
  <c r="D15" i="6"/>
  <c r="C15" i="6"/>
  <c r="B15" i="6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D29" i="3"/>
  <c r="D28" i="3"/>
  <c r="D27" i="3"/>
  <c r="D26" i="3"/>
  <c r="D25" i="3"/>
  <c r="D24" i="3"/>
  <c r="D23" i="3"/>
  <c r="D22" i="3"/>
  <c r="D21" i="3"/>
  <c r="D20" i="3"/>
  <c r="D19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D23" i="1"/>
  <c r="D22" i="1"/>
  <c r="D21" i="1"/>
  <c r="D20" i="1"/>
  <c r="D19" i="1"/>
  <c r="H15" i="1"/>
  <c r="G15" i="1"/>
  <c r="F15" i="1"/>
  <c r="E15" i="1"/>
  <c r="D15" i="1"/>
  <c r="C15" i="1"/>
  <c r="B15" i="1"/>
</calcChain>
</file>

<file path=xl/sharedStrings.xml><?xml version="1.0" encoding="utf-8"?>
<sst xmlns="http://schemas.openxmlformats.org/spreadsheetml/2006/main" count="625" uniqueCount="399">
  <si>
    <t>Загальні метрики</t>
  </si>
  <si>
    <t>10 періодів/кампаній — усі розрахункові метрики показані живими формулами</t>
  </si>
  <si>
    <t>Період</t>
  </si>
  <si>
    <t>Покази</t>
  </si>
  <si>
    <t>Кліки</t>
  </si>
  <si>
    <t>Візити</t>
  </si>
  <si>
    <t>Сесії</t>
  </si>
  <si>
    <t>Відмови</t>
  </si>
  <si>
    <t>Конверсії</t>
  </si>
  <si>
    <t>Взаємодії</t>
  </si>
  <si>
    <t>Період 1</t>
  </si>
  <si>
    <t>Період 2</t>
  </si>
  <si>
    <t>Період 3</t>
  </si>
  <si>
    <t>Період 4</t>
  </si>
  <si>
    <t>Період 5</t>
  </si>
  <si>
    <t>Період 6</t>
  </si>
  <si>
    <t>Період 7</t>
  </si>
  <si>
    <t>Період 8</t>
  </si>
  <si>
    <t>Період 9</t>
  </si>
  <si>
    <t>Період 10</t>
  </si>
  <si>
    <t>Підсумок (середнє)</t>
  </si>
  <si>
    <t>Розрахункові метрики</t>
  </si>
  <si>
    <t>Метрика</t>
  </si>
  <si>
    <t>Категорії</t>
  </si>
  <si>
    <t>Формула</t>
  </si>
  <si>
    <t>Розрахунок (Excel)</t>
  </si>
  <si>
    <t>Пояснення</t>
  </si>
  <si>
    <t>CTR — Click-Through Rate</t>
  </si>
  <si>
    <t>S·E·P·C</t>
  </si>
  <si>
    <t>CTR (%) = Кліки / Покази × 100%</t>
  </si>
  <si>
    <t>Частка кліків від показів — наскільки привабливим є оголошення чи результат.</t>
  </si>
  <si>
    <t>CR — Conversion Rate</t>
  </si>
  <si>
    <t>CR (%) = Конверсії / Візити × 100%</t>
  </si>
  <si>
    <t>Частка візитів, які завершилися цільовою дією (покупкою, реєстрацією).</t>
  </si>
  <si>
    <t>Conversions</t>
  </si>
  <si>
    <t>S·E·P·R·C</t>
  </si>
  <si>
    <t>Conversions = кількість цільових дій за період</t>
  </si>
  <si>
    <t>Абсолютний лічильник цільових дій — база для CR, CPA, CPL.</t>
  </si>
  <si>
    <t>Engagement rate</t>
  </si>
  <si>
    <t>P·E·C</t>
  </si>
  <si>
    <t>ER (%) = Взаємодії / Покази × 100%</t>
  </si>
  <si>
    <t>Лайки, коментарі, поширення відносно показів.</t>
  </si>
  <si>
    <t>Bounce rate (сайт)</t>
  </si>
  <si>
    <t>P·S·C</t>
  </si>
  <si>
    <t>Bounce (%) = Відмови / Сесії × 100%</t>
  </si>
  <si>
    <t>Частка сесій без жодної дії. Метрика сайту — не плутати з email-bounce.</t>
  </si>
  <si>
    <t>Платні канали (Paid)</t>
  </si>
  <si>
    <t>Охоплення</t>
  </si>
  <si>
    <t>Витрати кампанії</t>
  </si>
  <si>
    <t>Перегляди відео</t>
  </si>
  <si>
    <t>Повні перегляди</t>
  </si>
  <si>
    <t>Ліди</t>
  </si>
  <si>
    <t>Встановлення</t>
  </si>
  <si>
    <t>Перші конверсії</t>
  </si>
  <si>
    <t>Дохід від реклами</t>
  </si>
  <si>
    <t>Маркетинг-витрати</t>
  </si>
  <si>
    <t>Нові клієнти</t>
  </si>
  <si>
    <t>Повернулися</t>
  </si>
  <si>
    <t>Користувачі загалом</t>
  </si>
  <si>
    <t>Якість (бали)</t>
  </si>
  <si>
    <t>Час до конверсії (дн)</t>
  </si>
  <si>
    <t>Кроки шляху</t>
  </si>
  <si>
    <t>Impressions</t>
  </si>
  <si>
    <t>Impressions = Σ показів</t>
  </si>
  <si>
    <t>Кількість показів оголошення.</t>
  </si>
  <si>
    <t>Clicks</t>
  </si>
  <si>
    <t>P·S</t>
  </si>
  <si>
    <t>Clicks = Σ кліків</t>
  </si>
  <si>
    <t>Кількість кліків на оголошення.</t>
  </si>
  <si>
    <t>Frequency</t>
  </si>
  <si>
    <t>P</t>
  </si>
  <si>
    <t>Frequency = Покази / Охоплення</t>
  </si>
  <si>
    <t>Скільки разів оголошення бачить один користувач.</t>
  </si>
  <si>
    <t>CTR</t>
  </si>
  <si>
    <t>Відсоток показів, що завершилися кліком.</t>
  </si>
  <si>
    <t>CPC</t>
  </si>
  <si>
    <t>CPC = Витрати / Кліки</t>
  </si>
  <si>
    <t>Середня вартість одного кліку.</t>
  </si>
  <si>
    <t>CPE</t>
  </si>
  <si>
    <t>CPE = Витрати / Взаємодії</t>
  </si>
  <si>
    <t>Вартість однієї взаємодії (лайк, коментар).</t>
  </si>
  <si>
    <t>CPV</t>
  </si>
  <si>
    <t>CPV = Витрати / Перегляди відео</t>
  </si>
  <si>
    <t>Вартість перегляду відеореклами.</t>
  </si>
  <si>
    <t>VTR</t>
  </si>
  <si>
    <t>VTR (%) = Повні перегляди / Покази × 100%</t>
  </si>
  <si>
    <t>Частка показів, після яких відео доглянули до кінця.</t>
  </si>
  <si>
    <t>CPA</t>
  </si>
  <si>
    <t>CPA = Витрати / Конверсії</t>
  </si>
  <si>
    <t>Вартість одного залученого клієнта, що виконав цільову дію.</t>
  </si>
  <si>
    <t>CPL</t>
  </si>
  <si>
    <t>CPL = Витрати / Ліди</t>
  </si>
  <si>
    <t>Вартість одного ліда (потенційного клієнта).</t>
  </si>
  <si>
    <t>CAC</t>
  </si>
  <si>
    <t>P·Pr</t>
  </si>
  <si>
    <t>CAC = Маркетинг-витрати / Нові клієнти</t>
  </si>
  <si>
    <t>Повна вартість залучення нового клієнта. Порівнюй з LTV.</t>
  </si>
  <si>
    <t>ROAS</t>
  </si>
  <si>
    <t>P·M</t>
  </si>
  <si>
    <t>ROAS = Дохід від реклами / Витрати</t>
  </si>
  <si>
    <t>Скільки ₴ доходу повертає кожна ₴ на рекламу.</t>
  </si>
  <si>
    <t>Install rate</t>
  </si>
  <si>
    <t>Install rate (%) = Встановлення / Кліки × 100%</t>
  </si>
  <si>
    <t>Частка кліків, після яких встановили додаток.</t>
  </si>
  <si>
    <t>First-time conversion rate</t>
  </si>
  <si>
    <t>First-time CR (%) = Перші конверсії / Конверсії × 100%</t>
  </si>
  <si>
    <t>Частка конверсій, здійснених уперше.</t>
  </si>
  <si>
    <t>Return rate</t>
  </si>
  <si>
    <t>Return rate (%) = Повернулися / Користувачі × 100%</t>
  </si>
  <si>
    <t>Частка користувачів, які повернулися через ремаркетинг.</t>
  </si>
  <si>
    <t>Quality score</t>
  </si>
  <si>
    <t>Quality score — середній бал Google</t>
  </si>
  <si>
    <t>Позаформульний показник Google — тут середній бал за 10 періодів.</t>
  </si>
  <si>
    <t>Time to conversion</t>
  </si>
  <si>
    <t>Час до конверсії — середні дні</t>
  </si>
  <si>
    <t>Середній час від першої взаємодії з рекламою до конверсії (без формул).</t>
  </si>
  <si>
    <t>Conversion path</t>
  </si>
  <si>
    <t>Кроки конверсійного шляху — середнє</t>
  </si>
  <si>
    <t>Аналіз шляхів до конверсії — середня кількість кроків за період.</t>
  </si>
  <si>
    <t>SEO</t>
  </si>
  <si>
    <t>Орган. трафік</t>
  </si>
  <si>
    <t>Орган. покази</t>
  </si>
  <si>
    <t>Орган. кліки</t>
  </si>
  <si>
    <t>Індексовані сторінки</t>
  </si>
  <si>
    <t>Помилки сканування</t>
  </si>
  <si>
    <t>Швидкість (с)</t>
  </si>
  <si>
    <t>Зворотні посилання</t>
  </si>
  <si>
    <t>Нові користувачі</t>
  </si>
  <si>
    <t>Повторні користувачі</t>
  </si>
  <si>
    <t>Кліки загалом</t>
  </si>
  <si>
    <t>Мобільні без проблем</t>
  </si>
  <si>
    <t>Теми протягом періоду</t>
  </si>
  <si>
    <t>Середня позиція</t>
  </si>
  <si>
    <t>Organic traffic</t>
  </si>
  <si>
    <t>S</t>
  </si>
  <si>
    <t>Organic traffic = Σ відвідувань</t>
  </si>
  <si>
    <t>Відвідувачі з безплатного пошуку.</t>
  </si>
  <si>
    <t>Average position</t>
  </si>
  <si>
    <t>Average position = середня позиція у видачі</t>
  </si>
  <si>
    <t>Середня позиція сайту за всіма запитами.</t>
  </si>
  <si>
    <t>Organic CTR</t>
  </si>
  <si>
    <t>CTR (%) = Орган. кліки / Орган. покази × 100%</t>
  </si>
  <si>
    <t>Частка кліків в органічній видачі від показів.</t>
  </si>
  <si>
    <t>Indexed pages</t>
  </si>
  <si>
    <t>Indexed pages = сума проіндексованих</t>
  </si>
  <si>
    <t>Сторінки, доступні для індексації.</t>
  </si>
  <si>
    <t>Crawl errors</t>
  </si>
  <si>
    <t>Crawl errors = сума помилок</t>
  </si>
  <si>
    <t>Помилки, з якими стикається Googlebot.</t>
  </si>
  <si>
    <t>Page load time</t>
  </si>
  <si>
    <t>Page load time (s) = середній час</t>
  </si>
  <si>
    <t>Середній час завантаження сторінки.</t>
  </si>
  <si>
    <t>Backlinks avg</t>
  </si>
  <si>
    <t>Backlinks avg = середня кількість</t>
  </si>
  <si>
    <t>Середня кількість зворотних посилань.</t>
  </si>
  <si>
    <t>New vs returning %</t>
  </si>
  <si>
    <t>New % = Нові / (Нові + Повторні) × 100%</t>
  </si>
  <si>
    <t>Частка нових користувачів в органічному трафіку.</t>
  </si>
  <si>
    <t>Organic click share %</t>
  </si>
  <si>
    <t>Share (%) = Орган. кліки / Кліки загалом × 100%</t>
  </si>
  <si>
    <t>Частка органічних кліків від загальної кількості.</t>
  </si>
  <si>
    <t>Mobile usability %</t>
  </si>
  <si>
    <t>Usability (%) = Без проблем / Індексовані × 100%</t>
  </si>
  <si>
    <t>Частка сторінок без проблем мобільної оптимізації.</t>
  </si>
  <si>
    <t>Topics tracked avg</t>
  </si>
  <si>
    <t>Topics = середня кількість тем за період</t>
  </si>
  <si>
    <t>Скільки ключових запитів/тем відстежується за період.</t>
  </si>
  <si>
    <t>Email Marketing</t>
  </si>
  <si>
    <t>Підписники</t>
  </si>
  <si>
    <t>Верифіковані</t>
  </si>
  <si>
    <t>Відправлено</t>
  </si>
  <si>
    <t>Доставлено</t>
  </si>
  <si>
    <t>Спам</t>
  </si>
  <si>
    <t>Відкриття</t>
  </si>
  <si>
    <t>Унік. відкриття</t>
  </si>
  <si>
    <t>Унік. кліки</t>
  </si>
  <si>
    <t>Відписки</t>
  </si>
  <si>
    <t>Відповіді</t>
  </si>
  <si>
    <t>Покупці</t>
  </si>
  <si>
    <t>Повторні покупці</t>
  </si>
  <si>
    <t>Дохід кампанії</t>
  </si>
  <si>
    <t>Витрати email</t>
  </si>
  <si>
    <t>Subscriber count</t>
  </si>
  <si>
    <t>E</t>
  </si>
  <si>
    <t>Subscribers = сума підписників</t>
  </si>
  <si>
    <t>Загальна кількість підписників у списку.</t>
  </si>
  <si>
    <t>Verification %</t>
  </si>
  <si>
    <t>Verification = Верифіковані / Підписники × 100%</t>
  </si>
  <si>
    <t>Частка підтверджених адрес у базі.</t>
  </si>
  <si>
    <t>Delivery %</t>
  </si>
  <si>
    <t>Delivery = Доставлено / Відправлено × 100%</t>
  </si>
  <si>
    <t>Частка успішно доставлених листів.</t>
  </si>
  <si>
    <t>Bounce % (email)</t>
  </si>
  <si>
    <t>Bounce = Відмови / Відправлено × 100%</t>
  </si>
  <si>
    <t>Частка недоставлених листів (email-bounce).</t>
  </si>
  <si>
    <t>Spam %</t>
  </si>
  <si>
    <t>Spam = Спам / Доставлено × 100%</t>
  </si>
  <si>
    <t>Частка листів, позначених як спам.</t>
  </si>
  <si>
    <t>Open rate %</t>
  </si>
  <si>
    <t>Open rate = Відкриття / Доставлено × 100%</t>
  </si>
  <si>
    <t>Частка доставлених листів, які відкрили.</t>
  </si>
  <si>
    <t>Unique open %</t>
  </si>
  <si>
    <t>Unique open = Унік. відкриття / Доставлено × 100%</t>
  </si>
  <si>
    <t>Кожен одержувач враховується лише один раз.</t>
  </si>
  <si>
    <t>Click %</t>
  </si>
  <si>
    <t>Click % = Кліки / Доставлено × 100%</t>
  </si>
  <si>
    <t>Загальний CTR розсилки за кліками.</t>
  </si>
  <si>
    <t>Unique CTR</t>
  </si>
  <si>
    <t>Unique CTR = Унік. кліки / Доставлено × 100%</t>
  </si>
  <si>
    <t>Відсоток унікальних кліків від доставки.</t>
  </si>
  <si>
    <t>CTOR</t>
  </si>
  <si>
    <t>CTOR = Кліки / Відкриття × 100%</t>
  </si>
  <si>
    <t>Частка кліків серед тих, хто відкрив лист — якість контенту.</t>
  </si>
  <si>
    <t>Unsubscribe %</t>
  </si>
  <si>
    <t>Unsubscribe = Відписки / Доставлено × 100%</t>
  </si>
  <si>
    <t>Частка підписників, які відписалися.</t>
  </si>
  <si>
    <t>Repeat buy rate</t>
  </si>
  <si>
    <t>Repeat buy = Повторні покупці / Покупці × 100%</t>
  </si>
  <si>
    <t>Частка покупців, які придбали повторно.</t>
  </si>
  <si>
    <t>Revenue per subscriber</t>
  </si>
  <si>
    <t>Rev/sub = Дохід / Підписники</t>
  </si>
  <si>
    <t>Скільки ₴ доходу приносить один підписник.</t>
  </si>
  <si>
    <t>Revenue per email</t>
  </si>
  <si>
    <t>Rev/email = Дохід / Відправлено</t>
  </si>
  <si>
    <t>Дохід з одного відправленого листа.</t>
  </si>
  <si>
    <t>Cost per lead (email)</t>
  </si>
  <si>
    <t>CPL = Витрати email / Ліди</t>
  </si>
  <si>
    <t>Вартість ліда з email-кампанії.</t>
  </si>
  <si>
    <t>Email ROI %</t>
  </si>
  <si>
    <t>ROI = (Дохід − Витрати) / Витрати × 100%</t>
  </si>
  <si>
    <t>Рентабельність інвестицій у кампанію.</t>
  </si>
  <si>
    <t>Reply rate</t>
  </si>
  <si>
    <t>Reply = Відповіді / Доставлено × 100%</t>
  </si>
  <si>
    <t>Частка підписників, які відповіли на лист.</t>
  </si>
  <si>
    <t>Content Marketing</t>
  </si>
  <si>
    <t>Трафік</t>
  </si>
  <si>
    <t>Час на сторінці (хв)</t>
  </si>
  <si>
    <t>Коментарі</t>
  </si>
  <si>
    <t>Зовн. посилання</t>
  </si>
  <si>
    <t>Реєстрації (вебінар)</t>
  </si>
  <si>
    <t>Відвідали вебінар</t>
  </si>
  <si>
    <t>Час перегляду (с)</t>
  </si>
  <si>
    <t>Завантаження</t>
  </si>
  <si>
    <t>Підписки</t>
  </si>
  <si>
    <t>Нові підписники</t>
  </si>
  <si>
    <t>Підписники на початку</t>
  </si>
  <si>
    <t>Сесії (direct)</t>
  </si>
  <si>
    <t>Traffic</t>
  </si>
  <si>
    <t>C</t>
  </si>
  <si>
    <t>Traffic = Σ відвілювань</t>
  </si>
  <si>
    <t>Загальний трафік блогу/контенту.</t>
  </si>
  <si>
    <t>Time on page (avg)</t>
  </si>
  <si>
    <t>Час на сторінці — середній</t>
  </si>
  <si>
    <t>Середній час на сторінці (хвилини).</t>
  </si>
  <si>
    <t>Comments</t>
  </si>
  <si>
    <t>Comments = Σ коментарів</t>
  </si>
  <si>
    <t>Індикатор залученості аудиторії.</t>
  </si>
  <si>
    <t>References avg</t>
  </si>
  <si>
    <t>References avg = середня кількість</t>
  </si>
  <si>
    <t>Середня кількість зовнішніх посилань на контент.</t>
  </si>
  <si>
    <t>Registrations</t>
  </si>
  <si>
    <t>Registrations () — вебінар</t>
  </si>
  <si>
    <t>Реєстрації на вебінар — початкова зацікавленість.</t>
  </si>
  <si>
    <t>Attendance % web</t>
  </si>
  <si>
    <t>Attendance = Відвідали / Реєстрації × 100%</t>
  </si>
  <si>
    <t>Частка відвідувачів серед зареєстрованих.</t>
  </si>
  <si>
    <t>Views</t>
  </si>
  <si>
    <t>Views = Σ переглядів відео</t>
  </si>
  <si>
    <t>Кількість переглядів відео.</t>
  </si>
  <si>
    <t>Avg view duration</t>
  </si>
  <si>
    <t>Duration = середній час перегляду</t>
  </si>
  <si>
    <t>Середня тривалість перегляду відео (секунди).</t>
  </si>
  <si>
    <t>Completion %</t>
  </si>
  <si>
    <t>Completion = Повні / Views × 100%</t>
  </si>
  <si>
    <t>Частка переглядів відео до кінця.</t>
  </si>
  <si>
    <t>Downloads/streams count</t>
  </si>
  <si>
    <t>Downloads/streams = Σ</t>
  </si>
  <si>
    <t>Кількість завантажень або прослуховувань подкасту.</t>
  </si>
  <si>
    <t>Subscriptions</t>
  </si>
  <si>
    <t>Subscriptions = Σ підписок</t>
  </si>
  <si>
    <t>Підписки на нові випуски подкасту.</t>
  </si>
  <si>
    <t>Followers growth %</t>
  </si>
  <si>
    <t>Growth = Нові / На початку × 100%</t>
  </si>
  <si>
    <t>Темп зростання аудиторії в соцмережах.</t>
  </si>
  <si>
    <t>Sessions avg</t>
  </si>
  <si>
    <t>Sessions avg = середня кількість сесій</t>
  </si>
  <si>
    <t>Середня кількість direct-сесій (пряме враження бренду).</t>
  </si>
  <si>
    <t>Referral (Реферали)</t>
  </si>
  <si>
    <t>Запрошення</t>
  </si>
  <si>
    <t>Успішні реєстрації</t>
  </si>
  <si>
    <t>Активні реферери</t>
  </si>
  <si>
    <t>Витрати програми</t>
  </si>
  <si>
    <t>AOV (гривня)</t>
  </si>
  <si>
    <t>Частота покупок</t>
  </si>
  <si>
    <t>Тривалість (міс)</t>
  </si>
  <si>
    <t>Referrals sent</t>
  </si>
  <si>
    <t>R</t>
  </si>
  <si>
    <t>Referrals sent = Σ запрошень</t>
  </si>
  <si>
    <t>Запрошения, відправлені існуючими користувачами.</t>
  </si>
  <si>
    <t>Successful ref. registration</t>
  </si>
  <si>
    <t>Успішні реєстрації = Σ</t>
  </si>
  <si>
    <t>Запрошені, які стали активними користувачами.</t>
  </si>
  <si>
    <t>Active ref users</t>
  </si>
  <si>
    <t>Активні реферери = Σ</t>
  </si>
  <si>
    <t>Користувачі, які ефективно надсилають запрошення.</t>
  </si>
  <si>
    <t>Referral cost</t>
  </si>
  <si>
    <t>Cost = Витрати програми / Успішні реєстрації</t>
  </si>
  <si>
    <t>Вартість одного успішного реферального залучення.</t>
  </si>
  <si>
    <t>Ref conversion %</t>
  </si>
  <si>
    <t>Ref conversion = Успішні / Запрошення × 100%</t>
  </si>
  <si>
    <t>Частка запрошень, що завершилися реєстрацією.</t>
  </si>
  <si>
    <t>Avg referrals per user</t>
  </si>
  <si>
    <t>Avg refs = Запрошення / Активні реферери</t>
  </si>
  <si>
    <t>Скільки запрошень надсилає один активний користувач.</t>
  </si>
  <si>
    <t>Referral LTV</t>
  </si>
  <si>
    <t>R·M</t>
  </si>
  <si>
    <t>Ref LTV = AOV × Частота × Тривалість</t>
  </si>
  <si>
    <t>Цінність життєвого циклу реферального користувача.</t>
  </si>
  <si>
    <t>Product (Продуктові)</t>
  </si>
  <si>
    <t>DAU</t>
  </si>
  <si>
    <t>MAU</t>
  </si>
  <si>
    <t>Користувачі</t>
  </si>
  <si>
    <t>Час на платформі (хв)</t>
  </si>
  <si>
    <t>Ключова дія (покупки)</t>
  </si>
  <si>
    <t>Реєстрації</t>
  </si>
  <si>
    <t>Активовані</t>
  </si>
  <si>
    <t>Усього на початку</t>
  </si>
  <si>
    <t>Залишилися</t>
  </si>
  <si>
    <t>Покинули</t>
  </si>
  <si>
    <t>Клієнти на початку</t>
  </si>
  <si>
    <t>Клієнти пішли</t>
  </si>
  <si>
    <t>Дохід на початку</t>
  </si>
  <si>
    <t>Втрачений дохід</t>
  </si>
  <si>
    <t>Час до активації (дн)</t>
  </si>
  <si>
    <t>Pr</t>
  </si>
  <si>
    <t>DAU = середня денна аудиторія</t>
  </si>
  <si>
    <t>Щоденні активні користувачі.</t>
  </si>
  <si>
    <t>MAU = середня місячна аудиторія</t>
  </si>
  <si>
    <t>Щомісячні активні користувачі.</t>
  </si>
  <si>
    <t>DAU/MAU</t>
  </si>
  <si>
    <t>DAU/MAU = DAU / MAU × 100%</t>
  </si>
  <si>
    <t>Коефіцієнт активності: ≥50% — майже щоденна взаємодія.</t>
  </si>
  <si>
    <t>Sessions per user</t>
  </si>
  <si>
    <t>Sessions/user = Сесії / Користувачі</t>
  </si>
  <si>
    <t>Скільки сесій припадає на одного користувача.</t>
  </si>
  <si>
    <t>Time per platform</t>
  </si>
  <si>
    <t>Час на платформі — середній</t>
  </si>
  <si>
    <t>Середній час користувача на платформі.</t>
  </si>
  <si>
    <t>Purchases / Key action</t>
  </si>
  <si>
    <t>Key action = кількість ключових дій</t>
  </si>
  <si>
    <t>Користувачі, які виконали ключову дію (завантаження, покупку).</t>
  </si>
  <si>
    <t>Registers</t>
  </si>
  <si>
    <t>Registers = Σ реєстрацій</t>
  </si>
  <si>
    <t>Успішні реєстрації за період.</t>
  </si>
  <si>
    <t>Activated %</t>
  </si>
  <si>
    <t>Activated = Активовані / Реєстрації × 100%</t>
  </si>
  <si>
    <t>Частка зареєстрованих, які активувалися.</t>
  </si>
  <si>
    <t>Retention rate %</t>
  </si>
  <si>
    <t>Retention = Залишилися / На початку × 100%</t>
  </si>
  <si>
    <t>Частка користувачів, які залишилися з періодом.</t>
  </si>
  <si>
    <t>Churn %</t>
  </si>
  <si>
    <t>Churn = Покинули / На початку × 100%</t>
  </si>
  <si>
    <t>Частка користувачів, які покинули продукт.</t>
  </si>
  <si>
    <t>Client churn %</t>
  </si>
  <si>
    <t>Client churn = Пішли / Клієнти поч × 100%</t>
  </si>
  <si>
    <t>Відтік клієнтів (не користувачів).</t>
  </si>
  <si>
    <t>Revenue churn %</t>
  </si>
  <si>
    <t>Pr·M</t>
  </si>
  <si>
    <t>Rev churn = Втрат. дохід / Дохід поч × 100%</t>
  </si>
  <si>
    <t>Частка доходу, втраченого через відтік.</t>
  </si>
  <si>
    <t>Time to activation</t>
  </si>
  <si>
    <t>Час до активац — середні дні</t>
  </si>
  <si>
    <t>Скільки днів потрібно новому користувачу до першої активації.</t>
  </si>
  <si>
    <t>Monetization (Монетизація)</t>
  </si>
  <si>
    <t>Дохід</t>
  </si>
  <si>
    <t>Замовлення</t>
  </si>
  <si>
    <t>Частота покупок (раз/міс)</t>
  </si>
  <si>
    <t>Витрати</t>
  </si>
  <si>
    <t>Revenue</t>
  </si>
  <si>
    <t>M</t>
  </si>
  <si>
    <t>Revenue = Σ доходу</t>
  </si>
  <si>
    <t>Дохід кампанії (Конверсії × AOV).</t>
  </si>
  <si>
    <t>AOV</t>
  </si>
  <si>
    <t>AOV = Дохід / Замовлення</t>
  </si>
  <si>
    <t>Середній чеок замовлення.</t>
  </si>
  <si>
    <t>ARPU</t>
  </si>
  <si>
    <t>ARPU = Дохід / Користувачі</t>
  </si>
  <si>
    <t>Дохід на одного користувача.</t>
  </si>
  <si>
    <t>LTV</t>
  </si>
  <si>
    <t>LTV = AOV × Частота × Тривалість</t>
  </si>
  <si>
    <t>Очікувана довічна цінність клієнта.</t>
  </si>
  <si>
    <t>Margin %</t>
  </si>
  <si>
    <t>Margin = (Дохід − Витрати) / Дохід × 100%</t>
  </si>
  <si>
    <t>Фінансовий результат після всіх витрат.</t>
  </si>
  <si>
    <t>ROI %</t>
  </si>
  <si>
    <t>Рентабельність інвестицій загалом.</t>
  </si>
  <si>
    <t>ROMI %</t>
  </si>
  <si>
    <t>ROMI = (Дохід − Маркетинг-витрати) / Маркетинг-витрати × 100%</t>
  </si>
  <si>
    <t>Рентабельність лише маркетингових інвестицій.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</si>
</sst>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&quot;%&quot;"/>
    <numFmt numFmtId="165" formatCode="&quot;₴ &quot;\ #,##0.00"/>
    <numFmt numFmtId="166" formatCode="0.0"/>
    <numFmt numFmtId="167" formatCode="0.0&quot; дн&quot;"/>
    <numFmt numFmtId="168" formatCode="0.0&quot; с&quot;"/>
    <numFmt numFmtId="169" formatCode="0.0&quot; хв&quot;"/>
    <numFmt numFmtId="170" formatCode="0.0&quot; міс&quot;"/>
  </numFmts>
  <fonts count="10" x14ac:knownFonts="1">
    <font>
      <sz val="11"/>
      <color theme="1"/>
      <name val="Calibri"/>
      <family val="2"/>
      <scheme val="minor"/>
    </font>
    <font>
      <b/>
      <sz val="15"/>
      <color rgb="FF2F5D8A"/>
      <name val="Georgia"/>
    </font>
    <font>
      <i/>
      <sz val="10"/>
      <color rgb="FF6B6B6B"/>
      <name val="Georgia"/>
    </font>
    <font>
      <b/>
      <sz val="10"/>
      <color rgb="FFFFFFFF"/>
      <name val="Calibri"/>
    </font>
    <font>
      <sz val="10"/>
      <color rgb="FF2B2B2B"/>
      <name val="Calibri"/>
    </font>
    <font>
      <b/>
      <sz val="10"/>
      <color rgb="FF2B2B2B"/>
      <name val="Calibri"/>
    </font>
    <font>
      <b/>
      <sz val="12"/>
      <color rgb="FF2F5D8A"/>
      <name val="Calibri"/>
    </font>
    <font>
      <b/>
      <sz val="10"/>
      <color rgb="FF2F5D8A"/>
      <name val="Calibri"/>
    </font>
    <font>
      <sz val="9"/>
      <color rgb="FF6B6B6B"/>
      <name val="Consolas"/>
    </font>
    <font>
      <b/>
      <sz val="10"/>
      <color rgb="FF3E7A2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9424E"/>
      </patternFill>
    </fill>
    <fill>
      <patternFill patternType="solid">
        <fgColor rgb="FFF2F2ED"/>
      </patternFill>
    </fill>
  </fills>
  <borders count="2">
    <border>
      <left/>
      <right/>
      <top/>
      <bottom/>
      <diagonal/>
    </border>
    <border>
      <left style="thin">
        <color rgb="FFD8D4C8"/>
      </left>
      <right style="thin">
        <color rgb="FFD8D4C8"/>
      </right>
      <top style="thin">
        <color rgb="FFD8D4C8"/>
      </top>
      <bottom style="thin">
        <color rgb="FFD8D4C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/>
    </xf>
    <xf numFmtId="0" fontId="6" fillId="0" borderId="0" xfId="0" applyFont="1"/>
    <xf numFmtId="0" fontId="7" fillId="0" borderId="1" xfId="0" applyFont="1" applyBorder="1"/>
    <xf numFmtId="0" fontId="8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166" fontId="5" fillId="3" borderId="1" xfId="0" applyNumberFormat="1" applyFont="1" applyFill="1" applyBorder="1" applyAlignment="1">
      <alignment horizontal="right" vertical="center"/>
    </xf>
    <xf numFmtId="167" fontId="5" fillId="3" borderId="1" xfId="0" applyNumberFormat="1" applyFont="1" applyFill="1" applyBorder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168" fontId="4" fillId="0" borderId="1" xfId="0" applyNumberFormat="1" applyFont="1" applyBorder="1" applyAlignment="1">
      <alignment horizontal="right" vertical="center"/>
    </xf>
    <xf numFmtId="168" fontId="5" fillId="3" borderId="1" xfId="0" applyNumberFormat="1" applyFont="1" applyFill="1" applyBorder="1" applyAlignment="1">
      <alignment horizontal="right" vertical="center"/>
    </xf>
    <xf numFmtId="168" fontId="9" fillId="0" borderId="1" xfId="0" applyNumberFormat="1" applyFont="1" applyBorder="1" applyAlignment="1">
      <alignment horizontal="right" vertical="center"/>
    </xf>
    <xf numFmtId="169" fontId="4" fillId="0" borderId="1" xfId="0" applyNumberFormat="1" applyFont="1" applyBorder="1" applyAlignment="1">
      <alignment horizontal="right" vertical="center"/>
    </xf>
    <xf numFmtId="169" fontId="5" fillId="3" borderId="1" xfId="0" applyNumberFormat="1" applyFont="1" applyFill="1" applyBorder="1" applyAlignment="1">
      <alignment horizontal="right" vertical="center"/>
    </xf>
    <xf numFmtId="169" fontId="9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170" fontId="4" fillId="0" borderId="1" xfId="0" applyNumberFormat="1" applyFont="1" applyBorder="1" applyAlignment="1">
      <alignment horizontal="right" vertical="center"/>
    </xf>
    <xf numFmtId="2" fontId="5" fillId="3" borderId="1" xfId="0" applyNumberFormat="1" applyFont="1" applyFill="1" applyBorder="1" applyAlignment="1">
      <alignment horizontal="right" vertical="center"/>
    </xf>
    <xf numFmtId="170" fontId="5" fillId="3" borderId="1" xfId="0" applyNumberFormat="1" applyFont="1" applyFill="1" applyBorder="1" applyAlignment="1">
      <alignment horizontal="right" vertical="center"/>
    </xf>
    <xf numFmtId="167" fontId="9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workbookViewId="0">
      <pane ySplit="4" topLeftCell="A5" activePane="bottomLeft" state="frozen"/>
      <selection pane="bottomLeft" activeCell="D20" sqref="D20"/>
    </sheetView>
  </sheetViews>
  <sheetFormatPr defaultRowHeight="15" x14ac:dyDescent="0.25"/>
  <cols>
    <col min="1" max="1" width="24" customWidth="1"/>
    <col min="2" max="2" width="16.42578125" customWidth="1"/>
    <col min="3" max="3" width="24.7109375" customWidth="1"/>
    <col min="4" max="4" width="20" customWidth="1"/>
    <col min="5" max="5" width="36.140625" customWidth="1"/>
    <col min="6" max="8" width="11" customWidth="1"/>
  </cols>
  <sheetData>
    <row r="1" spans="1:8" ht="19.5" x14ac:dyDescent="0.3">
      <c r="A1" s="1" t="s">
        <v>0</v>
      </c>
    </row>
    <row r="2" spans="1:8" x14ac:dyDescent="0.25">
      <c r="A2" s="2" t="s">
        <v>1</v>
      </c>
    </row>
    <row r="4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5">
        <v>99405</v>
      </c>
      <c r="C5" s="5">
        <v>4295</v>
      </c>
      <c r="D5" s="5">
        <v>3475</v>
      </c>
      <c r="E5" s="5">
        <v>2685</v>
      </c>
      <c r="F5" s="5">
        <v>1695</v>
      </c>
      <c r="G5" s="5">
        <v>109</v>
      </c>
      <c r="H5" s="5">
        <v>1517</v>
      </c>
    </row>
    <row r="6" spans="1:8" x14ac:dyDescent="0.25">
      <c r="A6" s="4" t="s">
        <v>11</v>
      </c>
      <c r="B6" s="5">
        <v>145211</v>
      </c>
      <c r="C6" s="5">
        <v>2788</v>
      </c>
      <c r="D6" s="5">
        <v>2151</v>
      </c>
      <c r="E6" s="5">
        <v>3788</v>
      </c>
      <c r="F6" s="5">
        <v>1633</v>
      </c>
      <c r="G6" s="5">
        <v>144</v>
      </c>
      <c r="H6" s="5">
        <v>802</v>
      </c>
    </row>
    <row r="7" spans="1:8" x14ac:dyDescent="0.25">
      <c r="A7" s="4" t="s">
        <v>12</v>
      </c>
      <c r="B7" s="5">
        <v>121177</v>
      </c>
      <c r="C7" s="5">
        <v>4043</v>
      </c>
      <c r="D7" s="5">
        <v>2512</v>
      </c>
      <c r="E7" s="5">
        <v>3996</v>
      </c>
      <c r="F7" s="5">
        <v>2101</v>
      </c>
      <c r="G7" s="5">
        <v>63</v>
      </c>
      <c r="H7" s="5">
        <v>828</v>
      </c>
    </row>
    <row r="8" spans="1:8" x14ac:dyDescent="0.25">
      <c r="A8" s="4" t="s">
        <v>13</v>
      </c>
      <c r="B8" s="5">
        <v>127899</v>
      </c>
      <c r="C8" s="5">
        <v>4478</v>
      </c>
      <c r="D8" s="5">
        <v>2786</v>
      </c>
      <c r="E8" s="5">
        <v>2612</v>
      </c>
      <c r="F8" s="5">
        <v>1622</v>
      </c>
      <c r="G8" s="5">
        <v>63</v>
      </c>
      <c r="H8" s="5">
        <v>1044</v>
      </c>
    </row>
    <row r="9" spans="1:8" x14ac:dyDescent="0.25">
      <c r="A9" s="4" t="s">
        <v>14</v>
      </c>
      <c r="B9" s="5">
        <v>120652</v>
      </c>
      <c r="C9" s="5">
        <v>3592</v>
      </c>
      <c r="D9" s="5">
        <v>2520</v>
      </c>
      <c r="E9" s="5">
        <v>2639</v>
      </c>
      <c r="F9" s="5">
        <v>1419</v>
      </c>
      <c r="G9" s="5">
        <v>111</v>
      </c>
      <c r="H9" s="5">
        <v>1119</v>
      </c>
    </row>
    <row r="10" spans="1:8" x14ac:dyDescent="0.25">
      <c r="A10" s="4" t="s">
        <v>15</v>
      </c>
      <c r="B10" s="5">
        <v>91504</v>
      </c>
      <c r="C10" s="5">
        <v>4275</v>
      </c>
      <c r="D10" s="5">
        <v>3102</v>
      </c>
      <c r="E10" s="5">
        <v>3420</v>
      </c>
      <c r="F10" s="5">
        <v>1386</v>
      </c>
      <c r="G10" s="5">
        <v>169</v>
      </c>
      <c r="H10" s="5">
        <v>1746</v>
      </c>
    </row>
    <row r="11" spans="1:8" x14ac:dyDescent="0.25">
      <c r="A11" s="4" t="s">
        <v>16</v>
      </c>
      <c r="B11" s="5">
        <v>98462</v>
      </c>
      <c r="C11" s="5">
        <v>3265</v>
      </c>
      <c r="D11" s="5">
        <v>3399</v>
      </c>
      <c r="E11" s="5">
        <v>3551</v>
      </c>
      <c r="F11" s="5">
        <v>2136</v>
      </c>
      <c r="G11" s="5">
        <v>106</v>
      </c>
      <c r="H11" s="5">
        <v>1713</v>
      </c>
    </row>
    <row r="12" spans="1:8" x14ac:dyDescent="0.25">
      <c r="A12" s="4" t="s">
        <v>17</v>
      </c>
      <c r="B12" s="5">
        <v>136921</v>
      </c>
      <c r="C12" s="5">
        <v>3207</v>
      </c>
      <c r="D12" s="5">
        <v>3158</v>
      </c>
      <c r="E12" s="5">
        <v>3877</v>
      </c>
      <c r="F12" s="5">
        <v>2046</v>
      </c>
      <c r="G12" s="5">
        <v>116</v>
      </c>
      <c r="H12" s="5">
        <v>1448</v>
      </c>
    </row>
    <row r="13" spans="1:8" x14ac:dyDescent="0.25">
      <c r="A13" s="4" t="s">
        <v>18</v>
      </c>
      <c r="B13" s="5">
        <v>92417</v>
      </c>
      <c r="C13" s="5">
        <v>3085</v>
      </c>
      <c r="D13" s="5">
        <v>3535</v>
      </c>
      <c r="E13" s="5">
        <v>2987</v>
      </c>
      <c r="F13" s="5">
        <v>1373</v>
      </c>
      <c r="G13" s="5">
        <v>120</v>
      </c>
      <c r="H13" s="5">
        <v>1573</v>
      </c>
    </row>
    <row r="14" spans="1:8" x14ac:dyDescent="0.25">
      <c r="A14" s="4" t="s">
        <v>19</v>
      </c>
      <c r="B14" s="5">
        <v>137214</v>
      </c>
      <c r="C14" s="5">
        <v>3349</v>
      </c>
      <c r="D14" s="5">
        <v>2890</v>
      </c>
      <c r="E14" s="5">
        <v>3166</v>
      </c>
      <c r="F14" s="5">
        <v>1978</v>
      </c>
      <c r="G14" s="5">
        <v>117</v>
      </c>
      <c r="H14" s="5">
        <v>1233</v>
      </c>
    </row>
    <row r="15" spans="1:8" x14ac:dyDescent="0.25">
      <c r="A15" s="6" t="s">
        <v>20</v>
      </c>
      <c r="B15" s="7">
        <f t="shared" ref="B15:H15" si="0">ROUND(AVERAGE(B5:B14),2)</f>
        <v>117086.2</v>
      </c>
      <c r="C15" s="7">
        <f t="shared" si="0"/>
        <v>3637.7</v>
      </c>
      <c r="D15" s="7">
        <f t="shared" si="0"/>
        <v>2952.8</v>
      </c>
      <c r="E15" s="7">
        <f t="shared" si="0"/>
        <v>3272.1</v>
      </c>
      <c r="F15" s="7">
        <f t="shared" si="0"/>
        <v>1738.9</v>
      </c>
      <c r="G15" s="7">
        <f t="shared" si="0"/>
        <v>111.8</v>
      </c>
      <c r="H15" s="7">
        <f t="shared" si="0"/>
        <v>1302.3</v>
      </c>
    </row>
    <row r="17" spans="1:5" ht="15.75" x14ac:dyDescent="0.25">
      <c r="A17" s="8" t="s">
        <v>21</v>
      </c>
    </row>
    <row r="18" spans="1:5" x14ac:dyDescent="0.25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</row>
    <row r="19" spans="1:5" ht="36" x14ac:dyDescent="0.25">
      <c r="A19" s="9" t="s">
        <v>27</v>
      </c>
      <c r="B19" s="4" t="s">
        <v>28</v>
      </c>
      <c r="C19" s="10" t="s">
        <v>29</v>
      </c>
      <c r="D19" s="11">
        <f>ROUND(SUM(C5:C14)/SUM(B5:B14)*100,2)</f>
        <v>3.11</v>
      </c>
      <c r="E19" s="12" t="s">
        <v>30</v>
      </c>
    </row>
    <row r="20" spans="1:5" ht="36" x14ac:dyDescent="0.25">
      <c r="A20" s="9" t="s">
        <v>31</v>
      </c>
      <c r="B20" s="4" t="s">
        <v>28</v>
      </c>
      <c r="C20" s="10" t="s">
        <v>32</v>
      </c>
      <c r="D20" s="11">
        <f>ROUND(SUM(G5:G14)/SUM(D5:D14)*100,2)</f>
        <v>3.79</v>
      </c>
      <c r="E20" s="12" t="s">
        <v>33</v>
      </c>
    </row>
    <row r="21" spans="1:5" ht="48" x14ac:dyDescent="0.25">
      <c r="A21" s="9" t="s">
        <v>34</v>
      </c>
      <c r="B21" s="4" t="s">
        <v>35</v>
      </c>
      <c r="C21" s="10" t="s">
        <v>36</v>
      </c>
      <c r="D21" s="13">
        <f>SUM(G5:G14)</f>
        <v>1118</v>
      </c>
      <c r="E21" s="12" t="s">
        <v>37</v>
      </c>
    </row>
    <row r="22" spans="1:5" ht="36" x14ac:dyDescent="0.25">
      <c r="A22" s="9" t="s">
        <v>38</v>
      </c>
      <c r="B22" s="4" t="s">
        <v>39</v>
      </c>
      <c r="C22" s="10" t="s">
        <v>40</v>
      </c>
      <c r="D22" s="11">
        <f>ROUND(SUM(H5:H14)/SUM(B5:B14)*100,2)</f>
        <v>1.1100000000000001</v>
      </c>
      <c r="E22" s="12" t="s">
        <v>41</v>
      </c>
    </row>
    <row r="23" spans="1:5" ht="36" x14ac:dyDescent="0.25">
      <c r="A23" s="9" t="s">
        <v>42</v>
      </c>
      <c r="B23" s="4" t="s">
        <v>43</v>
      </c>
      <c r="C23" s="10" t="s">
        <v>44</v>
      </c>
      <c r="D23" s="11">
        <f>ROUND(SUM(F5:F14)/SUM(E5:E14)*100,2)</f>
        <v>53.14</v>
      </c>
      <c r="E23" s="12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showGridLines="0" workbookViewId="0">
      <pane ySplit="4" topLeftCell="A5" activePane="bottomLeft" state="frozen"/>
      <selection pane="bottomLeft" activeCell="B6" sqref="B6"/>
    </sheetView>
  </sheetViews>
  <sheetFormatPr defaultRowHeight="15" x14ac:dyDescent="0.25"/>
  <cols>
    <col min="1" max="1" width="24" customWidth="1"/>
    <col min="2" max="2" width="16.5703125" customWidth="1"/>
    <col min="3" max="3" width="27.85546875" customWidth="1"/>
    <col min="4" max="4" width="20" customWidth="1"/>
    <col min="5" max="5" width="29.85546875" customWidth="1"/>
    <col min="6" max="6" width="8.85546875" bestFit="1" customWidth="1"/>
    <col min="7" max="7" width="14.85546875" bestFit="1" customWidth="1"/>
    <col min="8" max="8" width="14.7109375" bestFit="1" customWidth="1"/>
    <col min="9" max="9" width="8.42578125" bestFit="1" customWidth="1"/>
    <col min="10" max="10" width="4.7109375" bestFit="1" customWidth="1"/>
    <col min="11" max="11" width="12" bestFit="1" customWidth="1"/>
    <col min="12" max="12" width="13.85546875" bestFit="1" customWidth="1"/>
    <col min="13" max="13" width="16.140625" bestFit="1" customWidth="1"/>
    <col min="14" max="14" width="16.5703125" bestFit="1" customWidth="1"/>
    <col min="15" max="15" width="10.7109375" bestFit="1" customWidth="1"/>
    <col min="16" max="16" width="11.42578125" bestFit="1" customWidth="1"/>
    <col min="17" max="17" width="17.5703125" bestFit="1" customWidth="1"/>
    <col min="18" max="18" width="11" customWidth="1"/>
    <col min="19" max="19" width="17.85546875" bestFit="1" customWidth="1"/>
    <col min="20" max="20" width="11.28515625" bestFit="1" customWidth="1"/>
  </cols>
  <sheetData>
    <row r="1" spans="1:20" ht="19.5" x14ac:dyDescent="0.3">
      <c r="A1" s="1" t="s">
        <v>46</v>
      </c>
    </row>
    <row r="2" spans="1:20" x14ac:dyDescent="0.25">
      <c r="A2" s="2" t="s">
        <v>1</v>
      </c>
    </row>
    <row r="4" spans="1:20" x14ac:dyDescent="0.25">
      <c r="A4" s="3" t="s">
        <v>2</v>
      </c>
      <c r="B4" s="3" t="s">
        <v>3</v>
      </c>
      <c r="C4" s="3" t="s">
        <v>47</v>
      </c>
      <c r="D4" s="3" t="s">
        <v>4</v>
      </c>
      <c r="E4" s="3" t="s">
        <v>48</v>
      </c>
      <c r="F4" s="3" t="s">
        <v>9</v>
      </c>
      <c r="G4" s="3" t="s">
        <v>49</v>
      </c>
      <c r="H4" s="3" t="s">
        <v>50</v>
      </c>
      <c r="I4" s="3" t="s">
        <v>8</v>
      </c>
      <c r="J4" s="3" t="s">
        <v>51</v>
      </c>
      <c r="K4" s="3" t="s">
        <v>52</v>
      </c>
      <c r="L4" s="3" t="s">
        <v>53</v>
      </c>
      <c r="M4" s="3" t="s">
        <v>54</v>
      </c>
      <c r="N4" s="3" t="s">
        <v>55</v>
      </c>
      <c r="O4" s="3" t="s">
        <v>56</v>
      </c>
      <c r="P4" s="3" t="s">
        <v>57</v>
      </c>
      <c r="Q4" s="3" t="s">
        <v>58</v>
      </c>
      <c r="R4" s="3" t="s">
        <v>59</v>
      </c>
      <c r="S4" s="3" t="s">
        <v>60</v>
      </c>
      <c r="T4" s="3" t="s">
        <v>61</v>
      </c>
    </row>
    <row r="5" spans="1:20" x14ac:dyDescent="0.25">
      <c r="A5" s="4" t="s">
        <v>10</v>
      </c>
      <c r="B5" s="5">
        <v>234724</v>
      </c>
      <c r="C5" s="5">
        <v>164261</v>
      </c>
      <c r="D5" s="5">
        <v>2619</v>
      </c>
      <c r="E5" s="14">
        <v>9188.2099999999991</v>
      </c>
      <c r="F5" s="5">
        <v>618</v>
      </c>
      <c r="G5" s="5">
        <v>928</v>
      </c>
      <c r="H5" s="5">
        <v>331</v>
      </c>
      <c r="I5" s="5">
        <v>57</v>
      </c>
      <c r="J5" s="5">
        <v>131</v>
      </c>
      <c r="K5" s="5">
        <v>205</v>
      </c>
      <c r="L5" s="5">
        <v>45</v>
      </c>
      <c r="M5" s="14">
        <v>37127.230000000003</v>
      </c>
      <c r="N5" s="14">
        <v>18029.37</v>
      </c>
      <c r="O5" s="5">
        <v>59</v>
      </c>
      <c r="P5" s="5">
        <v>1923</v>
      </c>
      <c r="Q5" s="5">
        <v>4192</v>
      </c>
      <c r="R5" s="15">
        <v>8.67</v>
      </c>
      <c r="S5" s="16">
        <v>7.9</v>
      </c>
      <c r="T5" s="5">
        <v>3</v>
      </c>
    </row>
    <row r="6" spans="1:20" x14ac:dyDescent="0.25">
      <c r="A6" s="4" t="s">
        <v>11</v>
      </c>
      <c r="B6" s="5">
        <v>152189</v>
      </c>
      <c r="C6" s="5">
        <v>63952</v>
      </c>
      <c r="D6" s="5">
        <v>2558</v>
      </c>
      <c r="E6" s="14">
        <v>14508.51</v>
      </c>
      <c r="F6" s="5">
        <v>359</v>
      </c>
      <c r="G6" s="5">
        <v>697</v>
      </c>
      <c r="H6" s="5">
        <v>391</v>
      </c>
      <c r="I6" s="5">
        <v>69</v>
      </c>
      <c r="J6" s="5">
        <v>126</v>
      </c>
      <c r="K6" s="5">
        <v>153</v>
      </c>
      <c r="L6" s="5">
        <v>26</v>
      </c>
      <c r="M6" s="14">
        <v>44631.43</v>
      </c>
      <c r="N6" s="14">
        <v>13913.76</v>
      </c>
      <c r="O6" s="5">
        <v>63</v>
      </c>
      <c r="P6" s="5">
        <v>2199</v>
      </c>
      <c r="Q6" s="5">
        <v>3679</v>
      </c>
      <c r="R6" s="15">
        <v>6.67</v>
      </c>
      <c r="S6" s="16">
        <v>11.04</v>
      </c>
      <c r="T6" s="5">
        <v>4</v>
      </c>
    </row>
    <row r="7" spans="1:20" x14ac:dyDescent="0.25">
      <c r="A7" s="4" t="s">
        <v>12</v>
      </c>
      <c r="B7" s="5">
        <v>208128</v>
      </c>
      <c r="C7" s="5">
        <v>159725</v>
      </c>
      <c r="D7" s="5">
        <v>4102</v>
      </c>
      <c r="E7" s="14">
        <v>19056.47</v>
      </c>
      <c r="F7" s="5">
        <v>377</v>
      </c>
      <c r="G7" s="5">
        <v>1088</v>
      </c>
      <c r="H7" s="5">
        <v>410</v>
      </c>
      <c r="I7" s="5">
        <v>49</v>
      </c>
      <c r="J7" s="5">
        <v>145</v>
      </c>
      <c r="K7" s="5">
        <v>220</v>
      </c>
      <c r="L7" s="5">
        <v>41</v>
      </c>
      <c r="M7" s="14">
        <v>53866.01</v>
      </c>
      <c r="N7" s="14">
        <v>18860.189999999999</v>
      </c>
      <c r="O7" s="5">
        <v>77</v>
      </c>
      <c r="P7" s="5">
        <v>1701</v>
      </c>
      <c r="Q7" s="5">
        <v>3930</v>
      </c>
      <c r="R7" s="15">
        <v>7.12</v>
      </c>
      <c r="S7" s="16">
        <v>10.95</v>
      </c>
      <c r="T7" s="5">
        <v>5</v>
      </c>
    </row>
    <row r="8" spans="1:20" x14ac:dyDescent="0.25">
      <c r="A8" s="4" t="s">
        <v>13</v>
      </c>
      <c r="B8" s="5">
        <v>175321</v>
      </c>
      <c r="C8" s="5">
        <v>122448</v>
      </c>
      <c r="D8" s="5">
        <v>4433</v>
      </c>
      <c r="E8" s="14">
        <v>18132.82</v>
      </c>
      <c r="F8" s="5">
        <v>443</v>
      </c>
      <c r="G8" s="5">
        <v>594</v>
      </c>
      <c r="H8" s="5">
        <v>238</v>
      </c>
      <c r="I8" s="5">
        <v>78</v>
      </c>
      <c r="J8" s="5">
        <v>87</v>
      </c>
      <c r="K8" s="5">
        <v>247</v>
      </c>
      <c r="L8" s="5">
        <v>34</v>
      </c>
      <c r="M8" s="14">
        <v>71012</v>
      </c>
      <c r="N8" s="14">
        <v>16333.88</v>
      </c>
      <c r="O8" s="5">
        <v>79</v>
      </c>
      <c r="P8" s="5">
        <v>1906</v>
      </c>
      <c r="Q8" s="5">
        <v>3407</v>
      </c>
      <c r="R8" s="15">
        <v>7.55</v>
      </c>
      <c r="S8" s="16">
        <v>8.86</v>
      </c>
      <c r="T8" s="5">
        <v>4</v>
      </c>
    </row>
    <row r="9" spans="1:20" x14ac:dyDescent="0.25">
      <c r="A9" s="4" t="s">
        <v>14</v>
      </c>
      <c r="B9" s="5">
        <v>157421</v>
      </c>
      <c r="C9" s="5">
        <v>82860</v>
      </c>
      <c r="D9" s="5">
        <v>3575</v>
      </c>
      <c r="E9" s="14">
        <v>21078.16</v>
      </c>
      <c r="F9" s="5">
        <v>512</v>
      </c>
      <c r="G9" s="5">
        <v>499</v>
      </c>
      <c r="H9" s="5">
        <v>372</v>
      </c>
      <c r="I9" s="5">
        <v>80</v>
      </c>
      <c r="J9" s="5">
        <v>161</v>
      </c>
      <c r="K9" s="5">
        <v>147</v>
      </c>
      <c r="L9" s="5">
        <v>51</v>
      </c>
      <c r="M9" s="14">
        <v>32644.15</v>
      </c>
      <c r="N9" s="14">
        <v>21140.74</v>
      </c>
      <c r="O9" s="5">
        <v>55</v>
      </c>
      <c r="P9" s="5">
        <v>1427</v>
      </c>
      <c r="Q9" s="5">
        <v>4001</v>
      </c>
      <c r="R9" s="15">
        <v>6.48</v>
      </c>
      <c r="S9" s="16">
        <v>7.7</v>
      </c>
      <c r="T9" s="5">
        <v>5</v>
      </c>
    </row>
    <row r="10" spans="1:20" x14ac:dyDescent="0.25">
      <c r="A10" s="4" t="s">
        <v>15</v>
      </c>
      <c r="B10" s="5">
        <v>149380</v>
      </c>
      <c r="C10" s="5">
        <v>83153</v>
      </c>
      <c r="D10" s="5">
        <v>4349</v>
      </c>
      <c r="E10" s="14">
        <v>13920.85</v>
      </c>
      <c r="F10" s="5">
        <v>558</v>
      </c>
      <c r="G10" s="5">
        <v>471</v>
      </c>
      <c r="H10" s="5">
        <v>248</v>
      </c>
      <c r="I10" s="5">
        <v>49</v>
      </c>
      <c r="J10" s="5">
        <v>137</v>
      </c>
      <c r="K10" s="5">
        <v>132</v>
      </c>
      <c r="L10" s="5">
        <v>58</v>
      </c>
      <c r="M10" s="14">
        <v>31140.51</v>
      </c>
      <c r="N10" s="14">
        <v>22211.93</v>
      </c>
      <c r="O10" s="5">
        <v>46</v>
      </c>
      <c r="P10" s="5">
        <v>1456</v>
      </c>
      <c r="Q10" s="5">
        <v>3901</v>
      </c>
      <c r="R10" s="15">
        <v>6.61</v>
      </c>
      <c r="S10" s="16">
        <v>4.6500000000000004</v>
      </c>
      <c r="T10" s="5">
        <v>4</v>
      </c>
    </row>
    <row r="11" spans="1:20" x14ac:dyDescent="0.25">
      <c r="A11" s="4" t="s">
        <v>16</v>
      </c>
      <c r="B11" s="5">
        <v>166268</v>
      </c>
      <c r="C11" s="5">
        <v>64748</v>
      </c>
      <c r="D11" s="5">
        <v>4579</v>
      </c>
      <c r="E11" s="14">
        <v>10119.879999999999</v>
      </c>
      <c r="F11" s="5">
        <v>218</v>
      </c>
      <c r="G11" s="5">
        <v>674</v>
      </c>
      <c r="H11" s="5">
        <v>316</v>
      </c>
      <c r="I11" s="5">
        <v>81</v>
      </c>
      <c r="J11" s="5">
        <v>81</v>
      </c>
      <c r="K11" s="5">
        <v>167</v>
      </c>
      <c r="L11" s="5">
        <v>26</v>
      </c>
      <c r="M11" s="14">
        <v>50189.4</v>
      </c>
      <c r="N11" s="14">
        <v>22723.58</v>
      </c>
      <c r="O11" s="5">
        <v>71</v>
      </c>
      <c r="P11" s="5">
        <v>2102</v>
      </c>
      <c r="Q11" s="5">
        <v>3809</v>
      </c>
      <c r="R11" s="15">
        <v>8.44</v>
      </c>
      <c r="S11" s="16">
        <v>9.35</v>
      </c>
      <c r="T11" s="5">
        <v>3</v>
      </c>
    </row>
    <row r="12" spans="1:20" x14ac:dyDescent="0.25">
      <c r="A12" s="4" t="s">
        <v>17</v>
      </c>
      <c r="B12" s="5">
        <v>147063</v>
      </c>
      <c r="C12" s="5">
        <v>132691</v>
      </c>
      <c r="D12" s="5">
        <v>3164</v>
      </c>
      <c r="E12" s="14">
        <v>9428.69</v>
      </c>
      <c r="F12" s="5">
        <v>424</v>
      </c>
      <c r="G12" s="5">
        <v>1019</v>
      </c>
      <c r="H12" s="5">
        <v>184</v>
      </c>
      <c r="I12" s="5">
        <v>72</v>
      </c>
      <c r="J12" s="5">
        <v>109</v>
      </c>
      <c r="K12" s="5">
        <v>192</v>
      </c>
      <c r="L12" s="5">
        <v>30</v>
      </c>
      <c r="M12" s="14">
        <v>73187.899999999994</v>
      </c>
      <c r="N12" s="14">
        <v>15627.35</v>
      </c>
      <c r="O12" s="5">
        <v>66</v>
      </c>
      <c r="P12" s="5">
        <v>1620</v>
      </c>
      <c r="Q12" s="5">
        <v>2629</v>
      </c>
      <c r="R12" s="15">
        <v>7.65</v>
      </c>
      <c r="S12" s="16">
        <v>4.2699999999999996</v>
      </c>
      <c r="T12" s="5">
        <v>2</v>
      </c>
    </row>
    <row r="13" spans="1:20" x14ac:dyDescent="0.25">
      <c r="A13" s="4" t="s">
        <v>18</v>
      </c>
      <c r="B13" s="5">
        <v>124027</v>
      </c>
      <c r="C13" s="5">
        <v>77728</v>
      </c>
      <c r="D13" s="5">
        <v>2701</v>
      </c>
      <c r="E13" s="14">
        <v>16891.060000000001</v>
      </c>
      <c r="F13" s="5">
        <v>454</v>
      </c>
      <c r="G13" s="5">
        <v>1089</v>
      </c>
      <c r="H13" s="5">
        <v>402</v>
      </c>
      <c r="I13" s="5">
        <v>95</v>
      </c>
      <c r="J13" s="5">
        <v>93</v>
      </c>
      <c r="K13" s="5">
        <v>182</v>
      </c>
      <c r="L13" s="5">
        <v>34</v>
      </c>
      <c r="M13" s="14">
        <v>56605.68</v>
      </c>
      <c r="N13" s="14">
        <v>20738.3</v>
      </c>
      <c r="O13" s="5">
        <v>73</v>
      </c>
      <c r="P13" s="5">
        <v>1909</v>
      </c>
      <c r="Q13" s="5">
        <v>3011</v>
      </c>
      <c r="R13" s="15">
        <v>7.3</v>
      </c>
      <c r="S13" s="16">
        <v>7.74</v>
      </c>
      <c r="T13" s="5">
        <v>2</v>
      </c>
    </row>
    <row r="14" spans="1:20" x14ac:dyDescent="0.25">
      <c r="A14" s="4" t="s">
        <v>19</v>
      </c>
      <c r="B14" s="5">
        <v>124260</v>
      </c>
      <c r="C14" s="5">
        <v>104960</v>
      </c>
      <c r="D14" s="5">
        <v>2733</v>
      </c>
      <c r="E14" s="14">
        <v>18132.78</v>
      </c>
      <c r="F14" s="5">
        <v>320</v>
      </c>
      <c r="G14" s="5">
        <v>515</v>
      </c>
      <c r="H14" s="5">
        <v>199</v>
      </c>
      <c r="I14" s="5">
        <v>53</v>
      </c>
      <c r="J14" s="5">
        <v>92</v>
      </c>
      <c r="K14" s="5">
        <v>193</v>
      </c>
      <c r="L14" s="5">
        <v>41</v>
      </c>
      <c r="M14" s="14">
        <v>43937.67</v>
      </c>
      <c r="N14" s="14">
        <v>20984.62</v>
      </c>
      <c r="O14" s="5">
        <v>52</v>
      </c>
      <c r="P14" s="5">
        <v>2107</v>
      </c>
      <c r="Q14" s="5">
        <v>4141</v>
      </c>
      <c r="R14" s="15">
        <v>8.1</v>
      </c>
      <c r="S14" s="16">
        <v>6.9</v>
      </c>
      <c r="T14" s="5">
        <v>4</v>
      </c>
    </row>
    <row r="15" spans="1:20" x14ac:dyDescent="0.25">
      <c r="A15" s="6" t="s">
        <v>20</v>
      </c>
      <c r="B15" s="7">
        <f t="shared" ref="B15:T15" si="0">ROUND(AVERAGE(B5:B14),2)</f>
        <v>163878.1</v>
      </c>
      <c r="C15" s="7">
        <f t="shared" si="0"/>
        <v>105652.6</v>
      </c>
      <c r="D15" s="7">
        <f t="shared" si="0"/>
        <v>3481.3</v>
      </c>
      <c r="E15" s="17">
        <f t="shared" si="0"/>
        <v>15045.74</v>
      </c>
      <c r="F15" s="7">
        <f t="shared" si="0"/>
        <v>428.3</v>
      </c>
      <c r="G15" s="7">
        <f t="shared" si="0"/>
        <v>757.4</v>
      </c>
      <c r="H15" s="7">
        <f t="shared" si="0"/>
        <v>309.10000000000002</v>
      </c>
      <c r="I15" s="7">
        <f t="shared" si="0"/>
        <v>68.3</v>
      </c>
      <c r="J15" s="7">
        <f t="shared" si="0"/>
        <v>116.2</v>
      </c>
      <c r="K15" s="7">
        <f t="shared" si="0"/>
        <v>183.8</v>
      </c>
      <c r="L15" s="7">
        <f t="shared" si="0"/>
        <v>38.6</v>
      </c>
      <c r="M15" s="17">
        <f t="shared" si="0"/>
        <v>49434.2</v>
      </c>
      <c r="N15" s="17">
        <f t="shared" si="0"/>
        <v>19056.37</v>
      </c>
      <c r="O15" s="7">
        <f t="shared" si="0"/>
        <v>64.099999999999994</v>
      </c>
      <c r="P15" s="7">
        <f t="shared" si="0"/>
        <v>1835</v>
      </c>
      <c r="Q15" s="7">
        <f t="shared" si="0"/>
        <v>3670</v>
      </c>
      <c r="R15" s="18">
        <f t="shared" si="0"/>
        <v>7.46</v>
      </c>
      <c r="S15" s="19">
        <f t="shared" si="0"/>
        <v>7.94</v>
      </c>
      <c r="T15" s="7">
        <f t="shared" si="0"/>
        <v>3.6</v>
      </c>
    </row>
    <row r="17" spans="1:5" ht="15.75" x14ac:dyDescent="0.25">
      <c r="A17" s="8" t="s">
        <v>21</v>
      </c>
    </row>
    <row r="18" spans="1:5" x14ac:dyDescent="0.25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</row>
    <row r="19" spans="1:5" x14ac:dyDescent="0.25">
      <c r="A19" s="9" t="s">
        <v>62</v>
      </c>
      <c r="B19" s="4" t="s">
        <v>43</v>
      </c>
      <c r="C19" s="10" t="s">
        <v>63</v>
      </c>
      <c r="D19" s="13">
        <f>SUM(B5:B14)</f>
        <v>1638781</v>
      </c>
      <c r="E19" s="12" t="s">
        <v>64</v>
      </c>
    </row>
    <row r="20" spans="1:5" x14ac:dyDescent="0.25">
      <c r="A20" s="9" t="s">
        <v>65</v>
      </c>
      <c r="B20" s="4" t="s">
        <v>66</v>
      </c>
      <c r="C20" s="10" t="s">
        <v>67</v>
      </c>
      <c r="D20" s="13">
        <f>SUM(D5:D14)</f>
        <v>34813</v>
      </c>
      <c r="E20" s="12" t="s">
        <v>68</v>
      </c>
    </row>
    <row r="21" spans="1:5" ht="25.5" x14ac:dyDescent="0.25">
      <c r="A21" s="9" t="s">
        <v>69</v>
      </c>
      <c r="B21" s="4" t="s">
        <v>70</v>
      </c>
      <c r="C21" s="10" t="s">
        <v>71</v>
      </c>
      <c r="D21" s="20">
        <f>ROUND(SUM(B5:B14)/SUM(C5:C14),2)</f>
        <v>1.55</v>
      </c>
      <c r="E21" s="12" t="s">
        <v>72</v>
      </c>
    </row>
    <row r="22" spans="1:5" ht="25.5" x14ac:dyDescent="0.25">
      <c r="A22" s="9" t="s">
        <v>73</v>
      </c>
      <c r="B22" s="4" t="s">
        <v>70</v>
      </c>
      <c r="C22" s="10" t="s">
        <v>29</v>
      </c>
      <c r="D22" s="11">
        <f>ROUND(SUM(D5:D14)/SUM(B5:B14)*100,2)</f>
        <v>2.12</v>
      </c>
      <c r="E22" s="12" t="s">
        <v>74</v>
      </c>
    </row>
    <row r="23" spans="1:5" x14ac:dyDescent="0.25">
      <c r="A23" s="9" t="s">
        <v>75</v>
      </c>
      <c r="B23" s="4" t="s">
        <v>70</v>
      </c>
      <c r="C23" s="10" t="s">
        <v>76</v>
      </c>
      <c r="D23" s="21">
        <f>ROUND(SUM(E5:E14)/SUM(D5:D14),2)</f>
        <v>4.32</v>
      </c>
      <c r="E23" s="12" t="s">
        <v>77</v>
      </c>
    </row>
    <row r="24" spans="1:5" ht="25.5" x14ac:dyDescent="0.25">
      <c r="A24" s="9" t="s">
        <v>78</v>
      </c>
      <c r="B24" s="4" t="s">
        <v>70</v>
      </c>
      <c r="C24" s="10" t="s">
        <v>79</v>
      </c>
      <c r="D24" s="21">
        <f>ROUND(SUM(E5:E14)/SUM(F5:F14),2)</f>
        <v>35.130000000000003</v>
      </c>
      <c r="E24" s="12" t="s">
        <v>80</v>
      </c>
    </row>
    <row r="25" spans="1:5" ht="24" x14ac:dyDescent="0.25">
      <c r="A25" s="9" t="s">
        <v>81</v>
      </c>
      <c r="B25" s="4" t="s">
        <v>70</v>
      </c>
      <c r="C25" s="10" t="s">
        <v>82</v>
      </c>
      <c r="D25" s="21">
        <f>ROUND(SUM(E5:E14)/SUM(G5:G14),2)</f>
        <v>19.86</v>
      </c>
      <c r="E25" s="12" t="s">
        <v>83</v>
      </c>
    </row>
    <row r="26" spans="1:5" ht="25.5" x14ac:dyDescent="0.25">
      <c r="A26" s="9" t="s">
        <v>84</v>
      </c>
      <c r="B26" s="4" t="s">
        <v>70</v>
      </c>
      <c r="C26" s="10" t="s">
        <v>85</v>
      </c>
      <c r="D26" s="11">
        <f>ROUND(SUM(H5:H14)/SUM(B5:B14)*100,2)</f>
        <v>0.19</v>
      </c>
      <c r="E26" s="12" t="s">
        <v>86</v>
      </c>
    </row>
    <row r="27" spans="1:5" ht="25.5" x14ac:dyDescent="0.25">
      <c r="A27" s="9" t="s">
        <v>87</v>
      </c>
      <c r="B27" s="4" t="s">
        <v>70</v>
      </c>
      <c r="C27" s="10" t="s">
        <v>88</v>
      </c>
      <c r="D27" s="21">
        <f>ROUND(SUM(E5:E14)/SUM(I5:I14),2)</f>
        <v>220.29</v>
      </c>
      <c r="E27" s="12" t="s">
        <v>89</v>
      </c>
    </row>
    <row r="28" spans="1:5" ht="25.5" x14ac:dyDescent="0.25">
      <c r="A28" s="9" t="s">
        <v>90</v>
      </c>
      <c r="B28" s="4" t="s">
        <v>70</v>
      </c>
      <c r="C28" s="10" t="s">
        <v>91</v>
      </c>
      <c r="D28" s="21">
        <f>ROUND(SUM(E5:E14)/SUM(J5:J14),2)</f>
        <v>129.47999999999999</v>
      </c>
      <c r="E28" s="12" t="s">
        <v>92</v>
      </c>
    </row>
    <row r="29" spans="1:5" ht="25.5" x14ac:dyDescent="0.25">
      <c r="A29" s="9" t="s">
        <v>93</v>
      </c>
      <c r="B29" s="4" t="s">
        <v>94</v>
      </c>
      <c r="C29" s="10" t="s">
        <v>95</v>
      </c>
      <c r="D29" s="21">
        <f>ROUND(SUM(N5:N14)/SUM(O5:O14),2)</f>
        <v>297.29000000000002</v>
      </c>
      <c r="E29" s="12" t="s">
        <v>96</v>
      </c>
    </row>
    <row r="30" spans="1:5" ht="25.5" x14ac:dyDescent="0.25">
      <c r="A30" s="9" t="s">
        <v>97</v>
      </c>
      <c r="B30" s="4" t="s">
        <v>98</v>
      </c>
      <c r="C30" s="10" t="s">
        <v>99</v>
      </c>
      <c r="D30" s="21">
        <f>ROUND(SUM(M5:M14)/SUM(E5:E14),2)</f>
        <v>3.29</v>
      </c>
      <c r="E30" s="12" t="s">
        <v>100</v>
      </c>
    </row>
    <row r="31" spans="1:5" ht="36" x14ac:dyDescent="0.25">
      <c r="A31" s="9" t="s">
        <v>101</v>
      </c>
      <c r="B31" s="4" t="s">
        <v>70</v>
      </c>
      <c r="C31" s="10" t="s">
        <v>102</v>
      </c>
      <c r="D31" s="11">
        <f>ROUND(SUM(K5:K14)/SUM(D5:D14)*100,2)</f>
        <v>5.28</v>
      </c>
      <c r="E31" s="12" t="s">
        <v>103</v>
      </c>
    </row>
    <row r="32" spans="1:5" ht="36" x14ac:dyDescent="0.25">
      <c r="A32" s="9" t="s">
        <v>104</v>
      </c>
      <c r="B32" s="4" t="s">
        <v>70</v>
      </c>
      <c r="C32" s="10" t="s">
        <v>105</v>
      </c>
      <c r="D32" s="11">
        <f>ROUND(SUM(L5:L14)/SUM(I5:I14)*100,2)</f>
        <v>56.52</v>
      </c>
      <c r="E32" s="12" t="s">
        <v>106</v>
      </c>
    </row>
    <row r="33" spans="1:5" ht="36" x14ac:dyDescent="0.25">
      <c r="A33" s="9" t="s">
        <v>107</v>
      </c>
      <c r="B33" s="4" t="s">
        <v>70</v>
      </c>
      <c r="C33" s="10" t="s">
        <v>108</v>
      </c>
      <c r="D33" s="11">
        <f>ROUND(SUM(P5:P14)/SUM(Q5:Q14)*100,2)</f>
        <v>50</v>
      </c>
      <c r="E33" s="12" t="s">
        <v>109</v>
      </c>
    </row>
    <row r="34" spans="1:5" ht="25.5" x14ac:dyDescent="0.25">
      <c r="A34" s="9" t="s">
        <v>110</v>
      </c>
      <c r="B34" s="4" t="s">
        <v>70</v>
      </c>
      <c r="C34" s="10" t="s">
        <v>111</v>
      </c>
      <c r="D34" s="22">
        <f>ROUND(AVERAGE(R5:R14),1)</f>
        <v>7.5</v>
      </c>
      <c r="E34" s="12" t="s">
        <v>112</v>
      </c>
    </row>
    <row r="35" spans="1:5" ht="38.25" x14ac:dyDescent="0.25">
      <c r="A35" s="9" t="s">
        <v>113</v>
      </c>
      <c r="B35" s="4" t="s">
        <v>70</v>
      </c>
      <c r="C35" s="10" t="s">
        <v>114</v>
      </c>
      <c r="D35" s="22">
        <f>ROUND(AVERAGE(S5:S14),1)</f>
        <v>7.9</v>
      </c>
      <c r="E35" s="12" t="s">
        <v>115</v>
      </c>
    </row>
    <row r="36" spans="1:5" ht="25.5" x14ac:dyDescent="0.25">
      <c r="A36" s="9" t="s">
        <v>116</v>
      </c>
      <c r="B36" s="4" t="s">
        <v>70</v>
      </c>
      <c r="C36" s="10" t="s">
        <v>117</v>
      </c>
      <c r="D36" s="22">
        <f>ROUND(AVERAGE(T5:T14),1)</f>
        <v>3.6</v>
      </c>
      <c r="E36" s="12" t="s">
        <v>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showGridLines="0" workbookViewId="0">
      <pane ySplit="4" topLeftCell="A5" activePane="bottomLeft" state="frozen"/>
      <selection pane="bottomLeft" activeCell="C28" sqref="C28"/>
    </sheetView>
  </sheetViews>
  <sheetFormatPr defaultRowHeight="15" x14ac:dyDescent="0.25"/>
  <cols>
    <col min="1" max="1" width="24" customWidth="1"/>
    <col min="2" max="2" width="12.85546875" customWidth="1"/>
    <col min="3" max="3" width="24.5703125" customWidth="1"/>
    <col min="4" max="4" width="20" customWidth="1"/>
    <col min="5" max="5" width="26.140625" customWidth="1"/>
    <col min="6" max="14" width="11" customWidth="1"/>
  </cols>
  <sheetData>
    <row r="1" spans="1:14" ht="19.5" x14ac:dyDescent="0.3">
      <c r="A1" s="1" t="s">
        <v>119</v>
      </c>
    </row>
    <row r="2" spans="1:14" x14ac:dyDescent="0.25">
      <c r="A2" s="2" t="s">
        <v>1</v>
      </c>
    </row>
    <row r="4" spans="1:14" x14ac:dyDescent="0.25">
      <c r="A4" s="3" t="s">
        <v>2</v>
      </c>
      <c r="B4" s="3" t="s">
        <v>120</v>
      </c>
      <c r="C4" s="3" t="s">
        <v>121</v>
      </c>
      <c r="D4" s="3" t="s">
        <v>122</v>
      </c>
      <c r="E4" s="3" t="s">
        <v>123</v>
      </c>
      <c r="F4" s="3" t="s">
        <v>124</v>
      </c>
      <c r="G4" s="3" t="s">
        <v>125</v>
      </c>
      <c r="H4" s="3" t="s">
        <v>126</v>
      </c>
      <c r="I4" s="3" t="s">
        <v>127</v>
      </c>
      <c r="J4" s="3" t="s">
        <v>128</v>
      </c>
      <c r="K4" s="3" t="s">
        <v>129</v>
      </c>
      <c r="L4" s="3" t="s">
        <v>130</v>
      </c>
      <c r="M4" s="3" t="s">
        <v>131</v>
      </c>
      <c r="N4" s="3" t="s">
        <v>132</v>
      </c>
    </row>
    <row r="5" spans="1:14" x14ac:dyDescent="0.25">
      <c r="A5" s="4" t="s">
        <v>10</v>
      </c>
      <c r="B5" s="5">
        <v>6104</v>
      </c>
      <c r="C5" s="5">
        <v>185308</v>
      </c>
      <c r="D5" s="5">
        <v>11590</v>
      </c>
      <c r="E5" s="5">
        <v>3125</v>
      </c>
      <c r="F5" s="5">
        <v>30</v>
      </c>
      <c r="G5" s="23">
        <v>1.44</v>
      </c>
      <c r="H5" s="5">
        <v>358</v>
      </c>
      <c r="I5" s="5">
        <v>4405</v>
      </c>
      <c r="J5" s="5">
        <v>1733</v>
      </c>
      <c r="K5" s="5">
        <v>15875</v>
      </c>
      <c r="L5" s="5">
        <v>1998</v>
      </c>
      <c r="M5" s="5">
        <v>64</v>
      </c>
      <c r="N5" s="15">
        <v>7.72</v>
      </c>
    </row>
    <row r="6" spans="1:14" x14ac:dyDescent="0.25">
      <c r="A6" s="4" t="s">
        <v>11</v>
      </c>
      <c r="B6" s="5">
        <v>7010</v>
      </c>
      <c r="C6" s="5">
        <v>196688</v>
      </c>
      <c r="D6" s="5">
        <v>10054</v>
      </c>
      <c r="E6" s="5">
        <v>3162</v>
      </c>
      <c r="F6" s="5">
        <v>40</v>
      </c>
      <c r="G6" s="23">
        <v>2.4500000000000002</v>
      </c>
      <c r="H6" s="5">
        <v>795</v>
      </c>
      <c r="I6" s="5">
        <v>4206</v>
      </c>
      <c r="J6" s="5">
        <v>1558</v>
      </c>
      <c r="K6" s="5">
        <v>20066</v>
      </c>
      <c r="L6" s="5">
        <v>1796</v>
      </c>
      <c r="M6" s="5">
        <v>55</v>
      </c>
      <c r="N6" s="15">
        <v>3.37</v>
      </c>
    </row>
    <row r="7" spans="1:14" x14ac:dyDescent="0.25">
      <c r="A7" s="4" t="s">
        <v>12</v>
      </c>
      <c r="B7" s="5">
        <v>8489</v>
      </c>
      <c r="C7" s="5">
        <v>176730</v>
      </c>
      <c r="D7" s="5">
        <v>14032</v>
      </c>
      <c r="E7" s="5">
        <v>3455</v>
      </c>
      <c r="F7" s="5">
        <v>33</v>
      </c>
      <c r="G7" s="23">
        <v>3.33</v>
      </c>
      <c r="H7" s="5">
        <v>587</v>
      </c>
      <c r="I7" s="5">
        <v>4361</v>
      </c>
      <c r="J7" s="5">
        <v>1900</v>
      </c>
      <c r="K7" s="5">
        <v>21485</v>
      </c>
      <c r="L7" s="5">
        <v>1939</v>
      </c>
      <c r="M7" s="5">
        <v>45</v>
      </c>
      <c r="N7" s="15">
        <v>3.93</v>
      </c>
    </row>
    <row r="8" spans="1:14" x14ac:dyDescent="0.25">
      <c r="A8" s="4" t="s">
        <v>13</v>
      </c>
      <c r="B8" s="5">
        <v>6025</v>
      </c>
      <c r="C8" s="5">
        <v>235858</v>
      </c>
      <c r="D8" s="5">
        <v>12053</v>
      </c>
      <c r="E8" s="5">
        <v>3152</v>
      </c>
      <c r="F8" s="5">
        <v>16</v>
      </c>
      <c r="G8" s="23">
        <v>2.42</v>
      </c>
      <c r="H8" s="5">
        <v>582</v>
      </c>
      <c r="I8" s="5">
        <v>3821</v>
      </c>
      <c r="J8" s="5">
        <v>2027</v>
      </c>
      <c r="K8" s="5">
        <v>18674</v>
      </c>
      <c r="L8" s="5">
        <v>1952</v>
      </c>
      <c r="M8" s="5">
        <v>74</v>
      </c>
      <c r="N8" s="15">
        <v>8.2200000000000006</v>
      </c>
    </row>
    <row r="9" spans="1:14" x14ac:dyDescent="0.25">
      <c r="A9" s="4" t="s">
        <v>14</v>
      </c>
      <c r="B9" s="5">
        <v>8454</v>
      </c>
      <c r="C9" s="5">
        <v>238919</v>
      </c>
      <c r="D9" s="5">
        <v>13699</v>
      </c>
      <c r="E9" s="5">
        <v>2596</v>
      </c>
      <c r="F9" s="5">
        <v>39</v>
      </c>
      <c r="G9" s="23">
        <v>3.42</v>
      </c>
      <c r="H9" s="5">
        <v>893</v>
      </c>
      <c r="I9" s="5">
        <v>4083</v>
      </c>
      <c r="J9" s="5">
        <v>2142</v>
      </c>
      <c r="K9" s="5">
        <v>15689</v>
      </c>
      <c r="L9" s="5">
        <v>1916</v>
      </c>
      <c r="M9" s="5">
        <v>69</v>
      </c>
      <c r="N9" s="15">
        <v>4.74</v>
      </c>
    </row>
    <row r="10" spans="1:14" x14ac:dyDescent="0.25">
      <c r="A10" s="4" t="s">
        <v>15</v>
      </c>
      <c r="B10" s="5">
        <v>5441</v>
      </c>
      <c r="C10" s="5">
        <v>222473</v>
      </c>
      <c r="D10" s="5">
        <v>15929</v>
      </c>
      <c r="E10" s="5">
        <v>2506</v>
      </c>
      <c r="F10" s="5">
        <v>37</v>
      </c>
      <c r="G10" s="23">
        <v>2.2000000000000002</v>
      </c>
      <c r="H10" s="5">
        <v>440</v>
      </c>
      <c r="I10" s="5">
        <v>3753</v>
      </c>
      <c r="J10" s="5">
        <v>2192</v>
      </c>
      <c r="K10" s="5">
        <v>20982</v>
      </c>
      <c r="L10" s="5">
        <v>1522</v>
      </c>
      <c r="M10" s="5">
        <v>71</v>
      </c>
      <c r="N10" s="15">
        <v>3.44</v>
      </c>
    </row>
    <row r="11" spans="1:14" x14ac:dyDescent="0.25">
      <c r="A11" s="4" t="s">
        <v>16</v>
      </c>
      <c r="B11" s="5">
        <v>7930</v>
      </c>
      <c r="C11" s="5">
        <v>159714</v>
      </c>
      <c r="D11" s="5">
        <v>15166</v>
      </c>
      <c r="E11" s="5">
        <v>3577</v>
      </c>
      <c r="F11" s="5">
        <v>25</v>
      </c>
      <c r="G11" s="23">
        <v>3.5</v>
      </c>
      <c r="H11" s="5">
        <v>536</v>
      </c>
      <c r="I11" s="5">
        <v>3492</v>
      </c>
      <c r="J11" s="5">
        <v>2040</v>
      </c>
      <c r="K11" s="5">
        <v>14251</v>
      </c>
      <c r="L11" s="5">
        <v>1599</v>
      </c>
      <c r="M11" s="5">
        <v>60</v>
      </c>
      <c r="N11" s="15">
        <v>6.5</v>
      </c>
    </row>
    <row r="12" spans="1:14" x14ac:dyDescent="0.25">
      <c r="A12" s="4" t="s">
        <v>17</v>
      </c>
      <c r="B12" s="5">
        <v>5794</v>
      </c>
      <c r="C12" s="5">
        <v>125092</v>
      </c>
      <c r="D12" s="5">
        <v>15074</v>
      </c>
      <c r="E12" s="5">
        <v>2777</v>
      </c>
      <c r="F12" s="5">
        <v>43</v>
      </c>
      <c r="G12" s="23">
        <v>3.27</v>
      </c>
      <c r="H12" s="5">
        <v>577</v>
      </c>
      <c r="I12" s="5">
        <v>3952</v>
      </c>
      <c r="J12" s="5">
        <v>1968</v>
      </c>
      <c r="K12" s="5">
        <v>19151</v>
      </c>
      <c r="L12" s="5">
        <v>1798</v>
      </c>
      <c r="M12" s="5">
        <v>68</v>
      </c>
      <c r="N12" s="15">
        <v>6.55</v>
      </c>
    </row>
    <row r="13" spans="1:14" x14ac:dyDescent="0.25">
      <c r="A13" s="4" t="s">
        <v>18</v>
      </c>
      <c r="B13" s="5">
        <v>8774</v>
      </c>
      <c r="C13" s="5">
        <v>180843</v>
      </c>
      <c r="D13" s="5">
        <v>12018</v>
      </c>
      <c r="E13" s="5">
        <v>3264</v>
      </c>
      <c r="F13" s="5">
        <v>14</v>
      </c>
      <c r="G13" s="23">
        <v>1.96</v>
      </c>
      <c r="H13" s="5">
        <v>937</v>
      </c>
      <c r="I13" s="5">
        <v>4025</v>
      </c>
      <c r="J13" s="5">
        <v>1994</v>
      </c>
      <c r="K13" s="5">
        <v>14092</v>
      </c>
      <c r="L13" s="5">
        <v>1708</v>
      </c>
      <c r="M13" s="5">
        <v>69</v>
      </c>
      <c r="N13" s="15">
        <v>3.31</v>
      </c>
    </row>
    <row r="14" spans="1:14" x14ac:dyDescent="0.25">
      <c r="A14" s="4" t="s">
        <v>19</v>
      </c>
      <c r="B14" s="5">
        <v>7540</v>
      </c>
      <c r="C14" s="5">
        <v>195862</v>
      </c>
      <c r="D14" s="5">
        <v>9421</v>
      </c>
      <c r="E14" s="5">
        <v>3153</v>
      </c>
      <c r="F14" s="5">
        <v>23</v>
      </c>
      <c r="G14" s="23">
        <v>2.79</v>
      </c>
      <c r="H14" s="5">
        <v>562</v>
      </c>
      <c r="I14" s="5">
        <v>4248</v>
      </c>
      <c r="J14" s="5">
        <v>2164</v>
      </c>
      <c r="K14" s="5">
        <v>14177</v>
      </c>
      <c r="L14" s="5">
        <v>1530</v>
      </c>
      <c r="M14" s="5">
        <v>74</v>
      </c>
      <c r="N14" s="15">
        <v>8.4</v>
      </c>
    </row>
    <row r="15" spans="1:14" x14ac:dyDescent="0.25">
      <c r="A15" s="6" t="s">
        <v>20</v>
      </c>
      <c r="B15" s="7">
        <f t="shared" ref="B15:N15" si="0">ROUND(AVERAGE(B5:B14),2)</f>
        <v>7156.1</v>
      </c>
      <c r="C15" s="7">
        <f t="shared" si="0"/>
        <v>191748.7</v>
      </c>
      <c r="D15" s="7">
        <f t="shared" si="0"/>
        <v>12903.6</v>
      </c>
      <c r="E15" s="7">
        <f t="shared" si="0"/>
        <v>3076.7</v>
      </c>
      <c r="F15" s="7">
        <f t="shared" si="0"/>
        <v>30</v>
      </c>
      <c r="G15" s="24">
        <f t="shared" si="0"/>
        <v>2.68</v>
      </c>
      <c r="H15" s="7">
        <f t="shared" si="0"/>
        <v>626.70000000000005</v>
      </c>
      <c r="I15" s="7">
        <f t="shared" si="0"/>
        <v>4034.6</v>
      </c>
      <c r="J15" s="7">
        <f t="shared" si="0"/>
        <v>1971.8</v>
      </c>
      <c r="K15" s="7">
        <f t="shared" si="0"/>
        <v>17444.2</v>
      </c>
      <c r="L15" s="7">
        <f t="shared" si="0"/>
        <v>1775.8</v>
      </c>
      <c r="M15" s="7">
        <f t="shared" si="0"/>
        <v>64.900000000000006</v>
      </c>
      <c r="N15" s="18">
        <f t="shared" si="0"/>
        <v>5.62</v>
      </c>
    </row>
    <row r="17" spans="1:5" ht="15.75" x14ac:dyDescent="0.25">
      <c r="A17" s="8" t="s">
        <v>21</v>
      </c>
    </row>
    <row r="18" spans="1:5" x14ac:dyDescent="0.25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</row>
    <row r="19" spans="1:5" ht="25.5" x14ac:dyDescent="0.25">
      <c r="A19" s="9" t="s">
        <v>133</v>
      </c>
      <c r="B19" s="4" t="s">
        <v>134</v>
      </c>
      <c r="C19" s="10" t="s">
        <v>135</v>
      </c>
      <c r="D19" s="13">
        <f>SUM(B5:B14)</f>
        <v>71561</v>
      </c>
      <c r="E19" s="12" t="s">
        <v>136</v>
      </c>
    </row>
    <row r="20" spans="1:5" ht="36" x14ac:dyDescent="0.25">
      <c r="A20" s="9" t="s">
        <v>137</v>
      </c>
      <c r="B20" s="4" t="s">
        <v>134</v>
      </c>
      <c r="C20" s="10" t="s">
        <v>138</v>
      </c>
      <c r="D20" s="22">
        <f>ROUND(AVERAGE(N5:N14),1)</f>
        <v>5.6</v>
      </c>
      <c r="E20" s="12" t="s">
        <v>139</v>
      </c>
    </row>
    <row r="21" spans="1:5" ht="25.5" x14ac:dyDescent="0.25">
      <c r="A21" s="9" t="s">
        <v>140</v>
      </c>
      <c r="B21" s="4" t="s">
        <v>134</v>
      </c>
      <c r="C21" s="10" t="s">
        <v>141</v>
      </c>
      <c r="D21" s="11">
        <f>ROUND(SUM(D5:D14)/SUM(C5:C14)*100,2)</f>
        <v>6.73</v>
      </c>
      <c r="E21" s="12" t="s">
        <v>142</v>
      </c>
    </row>
    <row r="22" spans="1:5" ht="25.5" x14ac:dyDescent="0.25">
      <c r="A22" s="9" t="s">
        <v>143</v>
      </c>
      <c r="B22" s="4" t="s">
        <v>134</v>
      </c>
      <c r="C22" s="10" t="s">
        <v>144</v>
      </c>
      <c r="D22" s="13">
        <f>SUM(E5:E14)</f>
        <v>30767</v>
      </c>
      <c r="E22" s="12" t="s">
        <v>145</v>
      </c>
    </row>
    <row r="23" spans="1:5" ht="25.5" x14ac:dyDescent="0.25">
      <c r="A23" s="9" t="s">
        <v>146</v>
      </c>
      <c r="B23" s="4" t="s">
        <v>134</v>
      </c>
      <c r="C23" s="10" t="s">
        <v>147</v>
      </c>
      <c r="D23" s="13">
        <f>SUM(F5:F14)</f>
        <v>300</v>
      </c>
      <c r="E23" s="12" t="s">
        <v>148</v>
      </c>
    </row>
    <row r="24" spans="1:5" ht="25.5" x14ac:dyDescent="0.25">
      <c r="A24" s="9" t="s">
        <v>149</v>
      </c>
      <c r="B24" s="4" t="s">
        <v>134</v>
      </c>
      <c r="C24" s="10" t="s">
        <v>150</v>
      </c>
      <c r="D24" s="25">
        <f>ROUND(AVERAGE(G5:G14),1)</f>
        <v>2.7</v>
      </c>
      <c r="E24" s="12" t="s">
        <v>151</v>
      </c>
    </row>
    <row r="25" spans="1:5" ht="25.5" x14ac:dyDescent="0.25">
      <c r="A25" s="9" t="s">
        <v>152</v>
      </c>
      <c r="B25" s="4" t="s">
        <v>134</v>
      </c>
      <c r="C25" s="10" t="s">
        <v>153</v>
      </c>
      <c r="D25" s="13">
        <f>ROUND(AVERAGE(H5:H14),0)</f>
        <v>627</v>
      </c>
      <c r="E25" s="12" t="s">
        <v>154</v>
      </c>
    </row>
    <row r="26" spans="1:5" ht="25.5" x14ac:dyDescent="0.25">
      <c r="A26" s="9" t="s">
        <v>155</v>
      </c>
      <c r="B26" s="4" t="s">
        <v>134</v>
      </c>
      <c r="C26" s="10" t="s">
        <v>156</v>
      </c>
      <c r="D26" s="11">
        <f>ROUND(SUM(I5:I14)/(SUM(I5:I14)+SUM(J5:J14))*100,2)</f>
        <v>67.17</v>
      </c>
      <c r="E26" s="12" t="s">
        <v>157</v>
      </c>
    </row>
    <row r="27" spans="1:5" ht="36" x14ac:dyDescent="0.25">
      <c r="A27" s="9" t="s">
        <v>158</v>
      </c>
      <c r="B27" s="4" t="s">
        <v>134</v>
      </c>
      <c r="C27" s="10" t="s">
        <v>159</v>
      </c>
      <c r="D27" s="11">
        <f>ROUND(SUM(D5:D14)/SUM(K5:K14)*100,2)</f>
        <v>73.97</v>
      </c>
      <c r="E27" s="12" t="s">
        <v>160</v>
      </c>
    </row>
    <row r="28" spans="1:5" ht="36" x14ac:dyDescent="0.25">
      <c r="A28" s="9" t="s">
        <v>161</v>
      </c>
      <c r="B28" s="4" t="s">
        <v>134</v>
      </c>
      <c r="C28" s="10" t="s">
        <v>162</v>
      </c>
      <c r="D28" s="11">
        <f>ROUND(SUM(L5:L14)/SUM(E5:E14)*100,2)</f>
        <v>57.72</v>
      </c>
      <c r="E28" s="12" t="s">
        <v>163</v>
      </c>
    </row>
    <row r="29" spans="1:5" ht="25.5" x14ac:dyDescent="0.25">
      <c r="A29" s="9" t="s">
        <v>164</v>
      </c>
      <c r="B29" s="4" t="s">
        <v>134</v>
      </c>
      <c r="C29" s="10" t="s">
        <v>165</v>
      </c>
      <c r="D29" s="22">
        <f>ROUND(AVERAGE(M5:M14),1)</f>
        <v>64.900000000000006</v>
      </c>
      <c r="E29" s="12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5"/>
  <sheetViews>
    <sheetView showGridLines="0" workbookViewId="0">
      <pane ySplit="4" topLeftCell="A5" activePane="bottomLeft" state="frozen"/>
      <selection pane="bottomLeft" activeCell="Q24" sqref="Q24"/>
    </sheetView>
  </sheetViews>
  <sheetFormatPr defaultRowHeight="15" x14ac:dyDescent="0.25"/>
  <cols>
    <col min="1" max="1" width="24" customWidth="1"/>
    <col min="2" max="2" width="14.42578125" customWidth="1"/>
    <col min="3" max="3" width="22" customWidth="1"/>
    <col min="4" max="4" width="15.85546875" bestFit="1" customWidth="1"/>
    <col min="5" max="5" width="28" customWidth="1"/>
    <col min="6" max="6" width="7.7109375" bestFit="1" customWidth="1"/>
    <col min="7" max="7" width="5.140625" bestFit="1" customWidth="1"/>
    <col min="8" max="8" width="8.7109375" bestFit="1" customWidth="1"/>
    <col min="9" max="9" width="12.7109375" bestFit="1" customWidth="1"/>
    <col min="10" max="10" width="5.42578125" bestFit="1" customWidth="1"/>
    <col min="11" max="11" width="9.28515625" bestFit="1" customWidth="1"/>
    <col min="12" max="12" width="8.140625" bestFit="1" customWidth="1"/>
    <col min="13" max="13" width="8.42578125" bestFit="1" customWidth="1"/>
    <col min="14" max="14" width="7.28515625" bestFit="1" customWidth="1"/>
    <col min="15" max="15" width="14.85546875" bestFit="1" customWidth="1"/>
    <col min="16" max="16" width="4.7109375" bestFit="1" customWidth="1"/>
    <col min="17" max="17" width="12.85546875" bestFit="1" customWidth="1"/>
    <col min="18" max="18" width="14.5703125" bestFit="1" customWidth="1"/>
    <col min="19" max="19" width="12" bestFit="1" customWidth="1"/>
  </cols>
  <sheetData>
    <row r="1" spans="1:19" ht="19.5" x14ac:dyDescent="0.3">
      <c r="A1" s="1" t="s">
        <v>167</v>
      </c>
    </row>
    <row r="2" spans="1:19" x14ac:dyDescent="0.25">
      <c r="A2" s="2" t="s">
        <v>1</v>
      </c>
    </row>
    <row r="4" spans="1:19" x14ac:dyDescent="0.25">
      <c r="A4" s="3" t="s">
        <v>2</v>
      </c>
      <c r="B4" s="3" t="s">
        <v>168</v>
      </c>
      <c r="C4" s="3" t="s">
        <v>169</v>
      </c>
      <c r="D4" s="3" t="s">
        <v>170</v>
      </c>
      <c r="E4" s="3" t="s">
        <v>171</v>
      </c>
      <c r="F4" s="3" t="s">
        <v>7</v>
      </c>
      <c r="G4" s="3" t="s">
        <v>172</v>
      </c>
      <c r="H4" s="3" t="s">
        <v>173</v>
      </c>
      <c r="I4" s="3" t="s">
        <v>174</v>
      </c>
      <c r="J4" s="3" t="s">
        <v>4</v>
      </c>
      <c r="K4" s="3" t="s">
        <v>175</v>
      </c>
      <c r="L4" s="3" t="s">
        <v>176</v>
      </c>
      <c r="M4" s="3" t="s">
        <v>177</v>
      </c>
      <c r="N4" s="3" t="s">
        <v>178</v>
      </c>
      <c r="O4" s="3" t="s">
        <v>179</v>
      </c>
      <c r="P4" s="3" t="s">
        <v>51</v>
      </c>
      <c r="Q4" s="3" t="s">
        <v>180</v>
      </c>
      <c r="R4" s="3" t="s">
        <v>48</v>
      </c>
      <c r="S4" s="3" t="s">
        <v>181</v>
      </c>
    </row>
    <row r="5" spans="1:19" x14ac:dyDescent="0.25">
      <c r="A5" s="4" t="s">
        <v>10</v>
      </c>
      <c r="B5" s="5">
        <v>25069</v>
      </c>
      <c r="C5" s="5">
        <v>18135</v>
      </c>
      <c r="D5" s="5">
        <v>19168</v>
      </c>
      <c r="E5" s="5">
        <v>16240</v>
      </c>
      <c r="F5" s="5">
        <v>387</v>
      </c>
      <c r="G5" s="5">
        <v>84</v>
      </c>
      <c r="H5" s="5">
        <v>6688</v>
      </c>
      <c r="I5" s="5">
        <v>5702</v>
      </c>
      <c r="J5" s="5">
        <v>1036</v>
      </c>
      <c r="K5" s="5">
        <v>533</v>
      </c>
      <c r="L5" s="5">
        <v>74</v>
      </c>
      <c r="M5" s="5">
        <v>60</v>
      </c>
      <c r="N5" s="5">
        <v>207</v>
      </c>
      <c r="O5" s="5">
        <v>52</v>
      </c>
      <c r="P5" s="5">
        <v>284</v>
      </c>
      <c r="Q5" s="14">
        <v>181297.08</v>
      </c>
      <c r="R5" s="14">
        <v>23262.720000000001</v>
      </c>
      <c r="S5" s="14">
        <v>10453.219999999999</v>
      </c>
    </row>
    <row r="6" spans="1:19" x14ac:dyDescent="0.25">
      <c r="A6" s="4" t="s">
        <v>11</v>
      </c>
      <c r="B6" s="5">
        <v>32406</v>
      </c>
      <c r="C6" s="5">
        <v>19128</v>
      </c>
      <c r="D6" s="5">
        <v>18479</v>
      </c>
      <c r="E6" s="5">
        <v>20016</v>
      </c>
      <c r="F6" s="5">
        <v>753</v>
      </c>
      <c r="G6" s="5">
        <v>134</v>
      </c>
      <c r="H6" s="5">
        <v>6544</v>
      </c>
      <c r="I6" s="5">
        <v>3204</v>
      </c>
      <c r="J6" s="5">
        <v>924</v>
      </c>
      <c r="K6" s="5">
        <v>803</v>
      </c>
      <c r="L6" s="5">
        <v>71</v>
      </c>
      <c r="M6" s="5">
        <v>50</v>
      </c>
      <c r="N6" s="5">
        <v>306</v>
      </c>
      <c r="O6" s="5">
        <v>50</v>
      </c>
      <c r="P6" s="5">
        <v>500</v>
      </c>
      <c r="Q6" s="14">
        <v>173858.1</v>
      </c>
      <c r="R6" s="14">
        <v>18762.22</v>
      </c>
      <c r="S6" s="14">
        <v>6401.97</v>
      </c>
    </row>
    <row r="7" spans="1:19" x14ac:dyDescent="0.25">
      <c r="A7" s="4" t="s">
        <v>12</v>
      </c>
      <c r="B7" s="5">
        <v>33815</v>
      </c>
      <c r="C7" s="5">
        <v>23296</v>
      </c>
      <c r="D7" s="5">
        <v>23059</v>
      </c>
      <c r="E7" s="5">
        <v>21784</v>
      </c>
      <c r="F7" s="5">
        <v>630</v>
      </c>
      <c r="G7" s="5">
        <v>86</v>
      </c>
      <c r="H7" s="5">
        <v>5476</v>
      </c>
      <c r="I7" s="5">
        <v>4409</v>
      </c>
      <c r="J7" s="5">
        <v>613</v>
      </c>
      <c r="K7" s="5">
        <v>583</v>
      </c>
      <c r="L7" s="5">
        <v>101</v>
      </c>
      <c r="M7" s="5">
        <v>35</v>
      </c>
      <c r="N7" s="5">
        <v>165</v>
      </c>
      <c r="O7" s="5">
        <v>109</v>
      </c>
      <c r="P7" s="5">
        <v>304</v>
      </c>
      <c r="Q7" s="14">
        <v>134154.62</v>
      </c>
      <c r="R7" s="14">
        <v>17539.84</v>
      </c>
      <c r="S7" s="14">
        <v>6742.75</v>
      </c>
    </row>
    <row r="8" spans="1:19" x14ac:dyDescent="0.25">
      <c r="A8" s="4" t="s">
        <v>13</v>
      </c>
      <c r="B8" s="5">
        <v>34965</v>
      </c>
      <c r="C8" s="5">
        <v>19151</v>
      </c>
      <c r="D8" s="5">
        <v>19302</v>
      </c>
      <c r="E8" s="5">
        <v>16621</v>
      </c>
      <c r="F8" s="5">
        <v>698</v>
      </c>
      <c r="G8" s="5">
        <v>70</v>
      </c>
      <c r="H8" s="5">
        <v>4552</v>
      </c>
      <c r="I8" s="5">
        <v>5514</v>
      </c>
      <c r="J8" s="5">
        <v>724</v>
      </c>
      <c r="K8" s="5">
        <v>735</v>
      </c>
      <c r="L8" s="5">
        <v>110</v>
      </c>
      <c r="M8" s="5">
        <v>41</v>
      </c>
      <c r="N8" s="5">
        <v>170</v>
      </c>
      <c r="O8" s="5">
        <v>65</v>
      </c>
      <c r="P8" s="5">
        <v>450</v>
      </c>
      <c r="Q8" s="14">
        <v>143851.85</v>
      </c>
      <c r="R8" s="14">
        <v>13798.67</v>
      </c>
      <c r="S8" s="14">
        <v>6648.54</v>
      </c>
    </row>
    <row r="9" spans="1:19" x14ac:dyDescent="0.25">
      <c r="A9" s="4" t="s">
        <v>14</v>
      </c>
      <c r="B9" s="5">
        <v>24308</v>
      </c>
      <c r="C9" s="5">
        <v>22049</v>
      </c>
      <c r="D9" s="5">
        <v>16342</v>
      </c>
      <c r="E9" s="5">
        <v>20578</v>
      </c>
      <c r="F9" s="5">
        <v>843</v>
      </c>
      <c r="G9" s="5">
        <v>145</v>
      </c>
      <c r="H9" s="5">
        <v>5993</v>
      </c>
      <c r="I9" s="5">
        <v>6260</v>
      </c>
      <c r="J9" s="5">
        <v>513</v>
      </c>
      <c r="K9" s="5">
        <v>573</v>
      </c>
      <c r="L9" s="5">
        <v>117</v>
      </c>
      <c r="M9" s="5">
        <v>115</v>
      </c>
      <c r="N9" s="5">
        <v>285</v>
      </c>
      <c r="O9" s="5">
        <v>144</v>
      </c>
      <c r="P9" s="5">
        <v>406</v>
      </c>
      <c r="Q9" s="14">
        <v>168151.34</v>
      </c>
      <c r="R9" s="14">
        <v>14694.56</v>
      </c>
      <c r="S9" s="14">
        <v>5531.32</v>
      </c>
    </row>
    <row r="10" spans="1:19" x14ac:dyDescent="0.25">
      <c r="A10" s="4" t="s">
        <v>15</v>
      </c>
      <c r="B10" s="5">
        <v>27774</v>
      </c>
      <c r="C10" s="5">
        <v>18501</v>
      </c>
      <c r="D10" s="5">
        <v>19053</v>
      </c>
      <c r="E10" s="5">
        <v>22695</v>
      </c>
      <c r="F10" s="5">
        <v>532</v>
      </c>
      <c r="G10" s="5">
        <v>41</v>
      </c>
      <c r="H10" s="5">
        <v>3370</v>
      </c>
      <c r="I10" s="5">
        <v>3493</v>
      </c>
      <c r="J10" s="5">
        <v>1049</v>
      </c>
      <c r="K10" s="5">
        <v>618</v>
      </c>
      <c r="L10" s="5">
        <v>49</v>
      </c>
      <c r="M10" s="5">
        <v>41</v>
      </c>
      <c r="N10" s="5">
        <v>474</v>
      </c>
      <c r="O10" s="5">
        <v>87</v>
      </c>
      <c r="P10" s="5">
        <v>282</v>
      </c>
      <c r="Q10" s="14">
        <v>77120.740000000005</v>
      </c>
      <c r="R10" s="14">
        <v>10884.33</v>
      </c>
      <c r="S10" s="14">
        <v>5349.36</v>
      </c>
    </row>
    <row r="11" spans="1:19" x14ac:dyDescent="0.25">
      <c r="A11" s="4" t="s">
        <v>16</v>
      </c>
      <c r="B11" s="5">
        <v>30799</v>
      </c>
      <c r="C11" s="5">
        <v>18646</v>
      </c>
      <c r="D11" s="5">
        <v>16327</v>
      </c>
      <c r="E11" s="5">
        <v>18925</v>
      </c>
      <c r="F11" s="5">
        <v>487</v>
      </c>
      <c r="G11" s="5">
        <v>150</v>
      </c>
      <c r="H11" s="5">
        <v>3665</v>
      </c>
      <c r="I11" s="5">
        <v>4752</v>
      </c>
      <c r="J11" s="5">
        <v>1042</v>
      </c>
      <c r="K11" s="5">
        <v>646</v>
      </c>
      <c r="L11" s="5">
        <v>119</v>
      </c>
      <c r="M11" s="5">
        <v>83</v>
      </c>
      <c r="N11" s="5">
        <v>230</v>
      </c>
      <c r="O11" s="5">
        <v>85</v>
      </c>
      <c r="P11" s="5">
        <v>231</v>
      </c>
      <c r="Q11" s="14">
        <v>120546.52</v>
      </c>
      <c r="R11" s="14">
        <v>13977.38</v>
      </c>
      <c r="S11" s="14">
        <v>11114.4</v>
      </c>
    </row>
    <row r="12" spans="1:19" x14ac:dyDescent="0.25">
      <c r="A12" s="4" t="s">
        <v>17</v>
      </c>
      <c r="B12" s="5">
        <v>32804</v>
      </c>
      <c r="C12" s="5">
        <v>22484</v>
      </c>
      <c r="D12" s="5">
        <v>16253</v>
      </c>
      <c r="E12" s="5">
        <v>17035</v>
      </c>
      <c r="F12" s="5">
        <v>483</v>
      </c>
      <c r="G12" s="5">
        <v>63</v>
      </c>
      <c r="H12" s="5">
        <v>4080</v>
      </c>
      <c r="I12" s="5">
        <v>5944</v>
      </c>
      <c r="J12" s="5">
        <v>599</v>
      </c>
      <c r="K12" s="5">
        <v>431</v>
      </c>
      <c r="L12" s="5">
        <v>113</v>
      </c>
      <c r="M12" s="5">
        <v>92</v>
      </c>
      <c r="N12" s="5">
        <v>477</v>
      </c>
      <c r="O12" s="5">
        <v>84</v>
      </c>
      <c r="P12" s="5">
        <v>490</v>
      </c>
      <c r="Q12" s="14">
        <v>148476.82</v>
      </c>
      <c r="R12" s="14">
        <v>22653.72</v>
      </c>
      <c r="S12" s="14">
        <v>9957.81</v>
      </c>
    </row>
    <row r="13" spans="1:19" x14ac:dyDescent="0.25">
      <c r="A13" s="4" t="s">
        <v>18</v>
      </c>
      <c r="B13" s="5">
        <v>28426</v>
      </c>
      <c r="C13" s="5">
        <v>18022</v>
      </c>
      <c r="D13" s="5">
        <v>17687</v>
      </c>
      <c r="E13" s="5">
        <v>21990</v>
      </c>
      <c r="F13" s="5">
        <v>845</v>
      </c>
      <c r="G13" s="5">
        <v>142</v>
      </c>
      <c r="H13" s="5">
        <v>4479</v>
      </c>
      <c r="I13" s="5">
        <v>5199</v>
      </c>
      <c r="J13" s="5">
        <v>1060</v>
      </c>
      <c r="K13" s="5">
        <v>785</v>
      </c>
      <c r="L13" s="5">
        <v>101</v>
      </c>
      <c r="M13" s="5">
        <v>88</v>
      </c>
      <c r="N13" s="5">
        <v>366</v>
      </c>
      <c r="O13" s="5">
        <v>115</v>
      </c>
      <c r="P13" s="5">
        <v>300</v>
      </c>
      <c r="Q13" s="14">
        <v>180736</v>
      </c>
      <c r="R13" s="14">
        <v>25300.46</v>
      </c>
      <c r="S13" s="14">
        <v>4595.04</v>
      </c>
    </row>
    <row r="14" spans="1:19" x14ac:dyDescent="0.25">
      <c r="A14" s="4" t="s">
        <v>19</v>
      </c>
      <c r="B14" s="5">
        <v>34624</v>
      </c>
      <c r="C14" s="5">
        <v>27580</v>
      </c>
      <c r="D14" s="5">
        <v>21347</v>
      </c>
      <c r="E14" s="5">
        <v>15356</v>
      </c>
      <c r="F14" s="5">
        <v>844</v>
      </c>
      <c r="G14" s="5">
        <v>54</v>
      </c>
      <c r="H14" s="5">
        <v>6880</v>
      </c>
      <c r="I14" s="5">
        <v>5235</v>
      </c>
      <c r="J14" s="5">
        <v>542</v>
      </c>
      <c r="K14" s="5">
        <v>500</v>
      </c>
      <c r="L14" s="5">
        <v>84</v>
      </c>
      <c r="M14" s="5">
        <v>93</v>
      </c>
      <c r="N14" s="5">
        <v>396</v>
      </c>
      <c r="O14" s="5">
        <v>142</v>
      </c>
      <c r="P14" s="5">
        <v>286</v>
      </c>
      <c r="Q14" s="14">
        <v>70392.759999999995</v>
      </c>
      <c r="R14" s="14">
        <v>24757.79</v>
      </c>
      <c r="S14" s="14">
        <v>4104.88</v>
      </c>
    </row>
    <row r="15" spans="1:19" x14ac:dyDescent="0.25">
      <c r="A15" s="6" t="s">
        <v>20</v>
      </c>
      <c r="B15" s="7">
        <f t="shared" ref="B15:S15" si="0">ROUND(AVERAGE(B5:B14),2)</f>
        <v>30499</v>
      </c>
      <c r="C15" s="7">
        <f t="shared" si="0"/>
        <v>20699.2</v>
      </c>
      <c r="D15" s="7">
        <f t="shared" si="0"/>
        <v>18701.7</v>
      </c>
      <c r="E15" s="7">
        <f t="shared" si="0"/>
        <v>19124</v>
      </c>
      <c r="F15" s="7">
        <f t="shared" si="0"/>
        <v>650.20000000000005</v>
      </c>
      <c r="G15" s="7">
        <f t="shared" si="0"/>
        <v>96.9</v>
      </c>
      <c r="H15" s="7">
        <f t="shared" si="0"/>
        <v>5172.7</v>
      </c>
      <c r="I15" s="7">
        <f t="shared" si="0"/>
        <v>4971.2</v>
      </c>
      <c r="J15" s="7">
        <f t="shared" si="0"/>
        <v>810.2</v>
      </c>
      <c r="K15" s="7">
        <f t="shared" si="0"/>
        <v>620.70000000000005</v>
      </c>
      <c r="L15" s="7">
        <f t="shared" si="0"/>
        <v>93.9</v>
      </c>
      <c r="M15" s="7">
        <f t="shared" si="0"/>
        <v>69.8</v>
      </c>
      <c r="N15" s="7">
        <f t="shared" si="0"/>
        <v>307.60000000000002</v>
      </c>
      <c r="O15" s="7">
        <f t="shared" si="0"/>
        <v>93.3</v>
      </c>
      <c r="P15" s="7">
        <f t="shared" si="0"/>
        <v>353.3</v>
      </c>
      <c r="Q15" s="17">
        <f t="shared" si="0"/>
        <v>139858.57999999999</v>
      </c>
      <c r="R15" s="17">
        <f t="shared" si="0"/>
        <v>18563.169999999998</v>
      </c>
      <c r="S15" s="17">
        <f t="shared" si="0"/>
        <v>7089.93</v>
      </c>
    </row>
    <row r="17" spans="1:5" ht="15.75" x14ac:dyDescent="0.25">
      <c r="A17" s="8" t="s">
        <v>21</v>
      </c>
    </row>
    <row r="18" spans="1:5" x14ac:dyDescent="0.25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</row>
    <row r="19" spans="1:5" ht="24" x14ac:dyDescent="0.25">
      <c r="A19" s="9" t="s">
        <v>182</v>
      </c>
      <c r="B19" s="4" t="s">
        <v>183</v>
      </c>
      <c r="C19" s="10" t="s">
        <v>184</v>
      </c>
      <c r="D19" s="13">
        <f>SUM(B5:B14)</f>
        <v>304990</v>
      </c>
      <c r="E19" s="12" t="s">
        <v>185</v>
      </c>
    </row>
    <row r="20" spans="1:5" ht="36" x14ac:dyDescent="0.25">
      <c r="A20" s="9" t="s">
        <v>186</v>
      </c>
      <c r="B20" s="4" t="s">
        <v>183</v>
      </c>
      <c r="C20" s="10" t="s">
        <v>187</v>
      </c>
      <c r="D20" s="11">
        <f>ROUND(SUM(C5:C14)/SUM(B5:B14)*100,2)</f>
        <v>67.87</v>
      </c>
      <c r="E20" s="12" t="s">
        <v>188</v>
      </c>
    </row>
    <row r="21" spans="1:5" ht="36" x14ac:dyDescent="0.25">
      <c r="A21" s="9" t="s">
        <v>189</v>
      </c>
      <c r="B21" s="4" t="s">
        <v>183</v>
      </c>
      <c r="C21" s="10" t="s">
        <v>190</v>
      </c>
      <c r="D21" s="11">
        <f>ROUND(SUM(E5:E14)/SUM(D5:D14)*100,2)</f>
        <v>102.26</v>
      </c>
      <c r="E21" s="12" t="s">
        <v>191</v>
      </c>
    </row>
    <row r="22" spans="1:5" ht="24" x14ac:dyDescent="0.25">
      <c r="A22" s="9" t="s">
        <v>192</v>
      </c>
      <c r="B22" s="4" t="s">
        <v>183</v>
      </c>
      <c r="C22" s="10" t="s">
        <v>193</v>
      </c>
      <c r="D22" s="11">
        <f>ROUND(SUM(F5:F14)/SUM(D5:D14)*100,2)</f>
        <v>3.48</v>
      </c>
      <c r="E22" s="12" t="s">
        <v>194</v>
      </c>
    </row>
    <row r="23" spans="1:5" ht="24" x14ac:dyDescent="0.25">
      <c r="A23" s="9" t="s">
        <v>195</v>
      </c>
      <c r="B23" s="4" t="s">
        <v>183</v>
      </c>
      <c r="C23" s="10" t="s">
        <v>196</v>
      </c>
      <c r="D23" s="11">
        <f>ROUND(SUM(G5:G14)/SUM(E5:E14)*100,2)</f>
        <v>0.51</v>
      </c>
      <c r="E23" s="12" t="s">
        <v>197</v>
      </c>
    </row>
    <row r="24" spans="1:5" ht="36" x14ac:dyDescent="0.25">
      <c r="A24" s="9" t="s">
        <v>198</v>
      </c>
      <c r="B24" s="4" t="s">
        <v>183</v>
      </c>
      <c r="C24" s="10" t="s">
        <v>199</v>
      </c>
      <c r="D24" s="11">
        <f>ROUND(SUM(H5:H14)/SUM(E5:E14)*100,2)</f>
        <v>27.05</v>
      </c>
      <c r="E24" s="12" t="s">
        <v>200</v>
      </c>
    </row>
    <row r="25" spans="1:5" ht="36" x14ac:dyDescent="0.25">
      <c r="A25" s="9" t="s">
        <v>201</v>
      </c>
      <c r="B25" s="4" t="s">
        <v>183</v>
      </c>
      <c r="C25" s="10" t="s">
        <v>202</v>
      </c>
      <c r="D25" s="11">
        <f>ROUND(SUM(I5:I14)/SUM(E5:E14)*100,2)</f>
        <v>25.99</v>
      </c>
      <c r="E25" s="12" t="s">
        <v>203</v>
      </c>
    </row>
    <row r="26" spans="1:5" ht="24" x14ac:dyDescent="0.25">
      <c r="A26" s="9" t="s">
        <v>204</v>
      </c>
      <c r="B26" s="4" t="s">
        <v>183</v>
      </c>
      <c r="C26" s="10" t="s">
        <v>205</v>
      </c>
      <c r="D26" s="11">
        <f>ROUND(SUM(J5:J14)/SUM(E5:E14)*100,2)</f>
        <v>4.24</v>
      </c>
      <c r="E26" s="12" t="s">
        <v>206</v>
      </c>
    </row>
    <row r="27" spans="1:5" ht="36" x14ac:dyDescent="0.25">
      <c r="A27" s="9" t="s">
        <v>207</v>
      </c>
      <c r="B27" s="4" t="s">
        <v>183</v>
      </c>
      <c r="C27" s="10" t="s">
        <v>208</v>
      </c>
      <c r="D27" s="11">
        <f>ROUND(SUM(K5:K14)/SUM(E5:E14)*100,2)</f>
        <v>3.25</v>
      </c>
      <c r="E27" s="12" t="s">
        <v>209</v>
      </c>
    </row>
    <row r="28" spans="1:5" ht="24" x14ac:dyDescent="0.25">
      <c r="A28" s="9" t="s">
        <v>210</v>
      </c>
      <c r="B28" s="4" t="s">
        <v>183</v>
      </c>
      <c r="C28" s="10" t="s">
        <v>211</v>
      </c>
      <c r="D28" s="11">
        <f>ROUND(SUM(J5:J14)/SUM(H5:H14)*100,2)</f>
        <v>15.66</v>
      </c>
      <c r="E28" s="12" t="s">
        <v>212</v>
      </c>
    </row>
    <row r="29" spans="1:5" ht="36" x14ac:dyDescent="0.25">
      <c r="A29" s="9" t="s">
        <v>213</v>
      </c>
      <c r="B29" s="4" t="s">
        <v>183</v>
      </c>
      <c r="C29" s="10" t="s">
        <v>214</v>
      </c>
      <c r="D29" s="11">
        <f>ROUND(SUM(L5:L14)/SUM(E5:E14)*100,2)</f>
        <v>0.49</v>
      </c>
      <c r="E29" s="12" t="s">
        <v>215</v>
      </c>
    </row>
    <row r="30" spans="1:5" ht="36" x14ac:dyDescent="0.25">
      <c r="A30" s="9" t="s">
        <v>216</v>
      </c>
      <c r="B30" s="4" t="s">
        <v>183</v>
      </c>
      <c r="C30" s="10" t="s">
        <v>217</v>
      </c>
      <c r="D30" s="11">
        <f>ROUND(SUM(O5:O14)/SUM(N5:N14)*100,2)</f>
        <v>30.33</v>
      </c>
      <c r="E30" s="12" t="s">
        <v>218</v>
      </c>
    </row>
    <row r="31" spans="1:5" ht="24" x14ac:dyDescent="0.25">
      <c r="A31" s="9" t="s">
        <v>219</v>
      </c>
      <c r="B31" s="4" t="s">
        <v>183</v>
      </c>
      <c r="C31" s="10" t="s">
        <v>220</v>
      </c>
      <c r="D31" s="21">
        <f>ROUND(SUM(Q5:Q14)/SUM(B5:B14),2)</f>
        <v>4.59</v>
      </c>
      <c r="E31" s="12" t="s">
        <v>221</v>
      </c>
    </row>
    <row r="32" spans="1:5" ht="24" x14ac:dyDescent="0.25">
      <c r="A32" s="9" t="s">
        <v>222</v>
      </c>
      <c r="B32" s="4" t="s">
        <v>183</v>
      </c>
      <c r="C32" s="10" t="s">
        <v>223</v>
      </c>
      <c r="D32" s="21">
        <f>ROUND(SUM(Q5:Q14)/SUM(D5:D14),2)</f>
        <v>7.48</v>
      </c>
      <c r="E32" s="12" t="s">
        <v>224</v>
      </c>
    </row>
    <row r="33" spans="1:5" ht="24" x14ac:dyDescent="0.25">
      <c r="A33" s="9" t="s">
        <v>225</v>
      </c>
      <c r="B33" s="4" t="s">
        <v>183</v>
      </c>
      <c r="C33" s="10" t="s">
        <v>226</v>
      </c>
      <c r="D33" s="21">
        <f>ROUND(SUM(S5:S14)/SUM(P5:P14),2)</f>
        <v>20.07</v>
      </c>
      <c r="E33" s="12" t="s">
        <v>227</v>
      </c>
    </row>
    <row r="34" spans="1:5" ht="36" x14ac:dyDescent="0.25">
      <c r="A34" s="9" t="s">
        <v>228</v>
      </c>
      <c r="B34" s="4" t="s">
        <v>183</v>
      </c>
      <c r="C34" s="10" t="s">
        <v>229</v>
      </c>
      <c r="D34" s="11">
        <f>ROUND((SUM(Q5:Q14)-SUM(R5:R14))/SUM(R5:R14)*100,2)</f>
        <v>653.41999999999996</v>
      </c>
      <c r="E34" s="12" t="s">
        <v>230</v>
      </c>
    </row>
    <row r="35" spans="1:5" ht="24" x14ac:dyDescent="0.25">
      <c r="A35" s="9" t="s">
        <v>231</v>
      </c>
      <c r="B35" s="4" t="s">
        <v>183</v>
      </c>
      <c r="C35" s="10" t="s">
        <v>232</v>
      </c>
      <c r="D35" s="11">
        <f>ROUND(SUM(M5:M14)/SUM(E5:E14)*100,2)</f>
        <v>0.36</v>
      </c>
      <c r="E35" s="12" t="s">
        <v>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showGridLines="0" workbookViewId="0">
      <pane ySplit="4" topLeftCell="A5" activePane="bottomLeft" state="frozen"/>
      <selection pane="bottomLeft" activeCell="J26" sqref="J26"/>
    </sheetView>
  </sheetViews>
  <sheetFormatPr defaultRowHeight="15" x14ac:dyDescent="0.25"/>
  <cols>
    <col min="1" max="1" width="24" customWidth="1"/>
    <col min="2" max="2" width="8.140625" bestFit="1" customWidth="1"/>
    <col min="3" max="3" width="25.140625" customWidth="1"/>
    <col min="4" max="4" width="20" customWidth="1"/>
    <col min="5" max="5" width="26.140625" customWidth="1"/>
    <col min="6" max="6" width="16.85546875" bestFit="1" customWidth="1"/>
    <col min="7" max="7" width="15.5703125" bestFit="1" customWidth="1"/>
    <col min="8" max="8" width="14.85546875" bestFit="1" customWidth="1"/>
    <col min="9" max="9" width="14.7109375" bestFit="1" customWidth="1"/>
    <col min="10" max="10" width="15" bestFit="1" customWidth="1"/>
    <col min="11" max="11" width="12.28515625" bestFit="1" customWidth="1"/>
    <col min="12" max="12" width="8.28515625" bestFit="1" customWidth="1"/>
    <col min="13" max="13" width="14.140625" bestFit="1" customWidth="1"/>
    <col min="14" max="14" width="19.42578125" bestFit="1" customWidth="1"/>
    <col min="15" max="15" width="10.7109375" bestFit="1" customWidth="1"/>
  </cols>
  <sheetData>
    <row r="1" spans="1:15" ht="19.5" x14ac:dyDescent="0.3">
      <c r="A1" s="1" t="s">
        <v>234</v>
      </c>
    </row>
    <row r="2" spans="1:15" x14ac:dyDescent="0.25">
      <c r="A2" s="2" t="s">
        <v>1</v>
      </c>
    </row>
    <row r="4" spans="1:15" x14ac:dyDescent="0.25">
      <c r="A4" s="3" t="s">
        <v>2</v>
      </c>
      <c r="B4" s="3" t="s">
        <v>235</v>
      </c>
      <c r="C4" s="3" t="s">
        <v>236</v>
      </c>
      <c r="D4" s="3" t="s">
        <v>237</v>
      </c>
      <c r="E4" s="3" t="s">
        <v>238</v>
      </c>
      <c r="F4" s="3" t="s">
        <v>239</v>
      </c>
      <c r="G4" s="3" t="s">
        <v>240</v>
      </c>
      <c r="H4" s="3" t="s">
        <v>49</v>
      </c>
      <c r="I4" s="3" t="s">
        <v>50</v>
      </c>
      <c r="J4" s="3" t="s">
        <v>241</v>
      </c>
      <c r="K4" s="3" t="s">
        <v>242</v>
      </c>
      <c r="L4" s="3" t="s">
        <v>243</v>
      </c>
      <c r="M4" s="3" t="s">
        <v>244</v>
      </c>
      <c r="N4" s="3" t="s">
        <v>245</v>
      </c>
      <c r="O4" s="3" t="s">
        <v>246</v>
      </c>
    </row>
    <row r="5" spans="1:15" x14ac:dyDescent="0.25">
      <c r="A5" s="4" t="s">
        <v>10</v>
      </c>
      <c r="B5" s="5">
        <v>32950</v>
      </c>
      <c r="C5" s="26">
        <v>3.31</v>
      </c>
      <c r="D5" s="5">
        <v>327</v>
      </c>
      <c r="E5" s="5">
        <v>144</v>
      </c>
      <c r="F5" s="5">
        <v>219</v>
      </c>
      <c r="G5" s="5">
        <v>247</v>
      </c>
      <c r="H5" s="5">
        <v>3122</v>
      </c>
      <c r="I5" s="5">
        <v>1412</v>
      </c>
      <c r="J5" s="23">
        <v>86.88</v>
      </c>
      <c r="K5" s="5">
        <v>984</v>
      </c>
      <c r="L5" s="5">
        <v>650</v>
      </c>
      <c r="M5" s="5">
        <v>157</v>
      </c>
      <c r="N5" s="5">
        <v>6452</v>
      </c>
      <c r="O5" s="5">
        <v>2668</v>
      </c>
    </row>
    <row r="6" spans="1:15" x14ac:dyDescent="0.25">
      <c r="A6" s="4" t="s">
        <v>11</v>
      </c>
      <c r="B6" s="5">
        <v>31050</v>
      </c>
      <c r="C6" s="26">
        <v>2.92</v>
      </c>
      <c r="D6" s="5">
        <v>123</v>
      </c>
      <c r="E6" s="5">
        <v>64</v>
      </c>
      <c r="F6" s="5">
        <v>182</v>
      </c>
      <c r="G6" s="5">
        <v>246</v>
      </c>
      <c r="H6" s="5">
        <v>6216</v>
      </c>
      <c r="I6" s="5">
        <v>1076</v>
      </c>
      <c r="J6" s="23">
        <v>78.84</v>
      </c>
      <c r="K6" s="5">
        <v>525</v>
      </c>
      <c r="L6" s="5">
        <v>509</v>
      </c>
      <c r="M6" s="5">
        <v>163</v>
      </c>
      <c r="N6" s="5">
        <v>4209</v>
      </c>
      <c r="O6" s="5">
        <v>3856</v>
      </c>
    </row>
    <row r="7" spans="1:15" x14ac:dyDescent="0.25">
      <c r="A7" s="4" t="s">
        <v>12</v>
      </c>
      <c r="B7" s="5">
        <v>23027</v>
      </c>
      <c r="C7" s="26">
        <v>2.1</v>
      </c>
      <c r="D7" s="5">
        <v>375</v>
      </c>
      <c r="E7" s="5">
        <v>136</v>
      </c>
      <c r="F7" s="5">
        <v>183</v>
      </c>
      <c r="G7" s="5">
        <v>253</v>
      </c>
      <c r="H7" s="5">
        <v>5265</v>
      </c>
      <c r="I7" s="5">
        <v>1646</v>
      </c>
      <c r="J7" s="23">
        <v>46.26</v>
      </c>
      <c r="K7" s="5">
        <v>1247</v>
      </c>
      <c r="L7" s="5">
        <v>545</v>
      </c>
      <c r="M7" s="5">
        <v>583</v>
      </c>
      <c r="N7" s="5">
        <v>8490</v>
      </c>
      <c r="O7" s="5">
        <v>2768</v>
      </c>
    </row>
    <row r="8" spans="1:15" x14ac:dyDescent="0.25">
      <c r="A8" s="4" t="s">
        <v>13</v>
      </c>
      <c r="B8" s="5">
        <v>26669</v>
      </c>
      <c r="C8" s="26">
        <v>1.98</v>
      </c>
      <c r="D8" s="5">
        <v>158</v>
      </c>
      <c r="E8" s="5">
        <v>47</v>
      </c>
      <c r="F8" s="5">
        <v>184</v>
      </c>
      <c r="G8" s="5">
        <v>193</v>
      </c>
      <c r="H8" s="5">
        <v>3014</v>
      </c>
      <c r="I8" s="5">
        <v>1646</v>
      </c>
      <c r="J8" s="23">
        <v>53.58</v>
      </c>
      <c r="K8" s="5">
        <v>679</v>
      </c>
      <c r="L8" s="5">
        <v>609</v>
      </c>
      <c r="M8" s="5">
        <v>340</v>
      </c>
      <c r="N8" s="5">
        <v>5716</v>
      </c>
      <c r="O8" s="5">
        <v>3114</v>
      </c>
    </row>
    <row r="9" spans="1:15" x14ac:dyDescent="0.25">
      <c r="A9" s="4" t="s">
        <v>14</v>
      </c>
      <c r="B9" s="5">
        <v>34912</v>
      </c>
      <c r="C9" s="26">
        <v>1.73</v>
      </c>
      <c r="D9" s="5">
        <v>374</v>
      </c>
      <c r="E9" s="5">
        <v>43</v>
      </c>
      <c r="F9" s="5">
        <v>220</v>
      </c>
      <c r="G9" s="5">
        <v>234</v>
      </c>
      <c r="H9" s="5">
        <v>3076</v>
      </c>
      <c r="I9" s="5">
        <v>1767</v>
      </c>
      <c r="J9" s="23">
        <v>55.14</v>
      </c>
      <c r="K9" s="5">
        <v>921</v>
      </c>
      <c r="L9" s="5">
        <v>205</v>
      </c>
      <c r="M9" s="5">
        <v>123</v>
      </c>
      <c r="N9" s="5">
        <v>5068</v>
      </c>
      <c r="O9" s="5">
        <v>4015</v>
      </c>
    </row>
    <row r="10" spans="1:15" x14ac:dyDescent="0.25">
      <c r="A10" s="4" t="s">
        <v>15</v>
      </c>
      <c r="B10" s="5">
        <v>22717</v>
      </c>
      <c r="C10" s="26">
        <v>3.34</v>
      </c>
      <c r="D10" s="5">
        <v>362</v>
      </c>
      <c r="E10" s="5">
        <v>144</v>
      </c>
      <c r="F10" s="5">
        <v>188</v>
      </c>
      <c r="G10" s="5">
        <v>150</v>
      </c>
      <c r="H10" s="5">
        <v>5204</v>
      </c>
      <c r="I10" s="5">
        <v>1753</v>
      </c>
      <c r="J10" s="23">
        <v>40.94</v>
      </c>
      <c r="K10" s="5">
        <v>1074</v>
      </c>
      <c r="L10" s="5">
        <v>599</v>
      </c>
      <c r="M10" s="5">
        <v>530</v>
      </c>
      <c r="N10" s="5">
        <v>4376</v>
      </c>
      <c r="O10" s="5">
        <v>3997</v>
      </c>
    </row>
    <row r="11" spans="1:15" x14ac:dyDescent="0.25">
      <c r="A11" s="4" t="s">
        <v>16</v>
      </c>
      <c r="B11" s="5">
        <v>20188</v>
      </c>
      <c r="C11" s="26">
        <v>2.38</v>
      </c>
      <c r="D11" s="5">
        <v>279</v>
      </c>
      <c r="E11" s="5">
        <v>141</v>
      </c>
      <c r="F11" s="5">
        <v>187</v>
      </c>
      <c r="G11" s="5">
        <v>247</v>
      </c>
      <c r="H11" s="5">
        <v>5290</v>
      </c>
      <c r="I11" s="5">
        <v>1244</v>
      </c>
      <c r="J11" s="23">
        <v>52.42</v>
      </c>
      <c r="K11" s="5">
        <v>560</v>
      </c>
      <c r="L11" s="5">
        <v>239</v>
      </c>
      <c r="M11" s="5">
        <v>174</v>
      </c>
      <c r="N11" s="5">
        <v>7508</v>
      </c>
      <c r="O11" s="5">
        <v>4094</v>
      </c>
    </row>
    <row r="12" spans="1:15" x14ac:dyDescent="0.25">
      <c r="A12" s="4" t="s">
        <v>17</v>
      </c>
      <c r="B12" s="5">
        <v>21877</v>
      </c>
      <c r="C12" s="26">
        <v>1.71</v>
      </c>
      <c r="D12" s="5">
        <v>377</v>
      </c>
      <c r="E12" s="5">
        <v>99</v>
      </c>
      <c r="F12" s="5">
        <v>192</v>
      </c>
      <c r="G12" s="5">
        <v>130</v>
      </c>
      <c r="H12" s="5">
        <v>5495</v>
      </c>
      <c r="I12" s="5">
        <v>1809</v>
      </c>
      <c r="J12" s="23">
        <v>60.06</v>
      </c>
      <c r="K12" s="5">
        <v>780</v>
      </c>
      <c r="L12" s="5">
        <v>228</v>
      </c>
      <c r="M12" s="5">
        <v>558</v>
      </c>
      <c r="N12" s="5">
        <v>4357</v>
      </c>
      <c r="O12" s="5">
        <v>3138</v>
      </c>
    </row>
    <row r="13" spans="1:15" x14ac:dyDescent="0.25">
      <c r="A13" s="4" t="s">
        <v>18</v>
      </c>
      <c r="B13" s="5">
        <v>38122</v>
      </c>
      <c r="C13" s="26">
        <v>1.9</v>
      </c>
      <c r="D13" s="5">
        <v>310</v>
      </c>
      <c r="E13" s="5">
        <v>144</v>
      </c>
      <c r="F13" s="5">
        <v>210</v>
      </c>
      <c r="G13" s="5">
        <v>224</v>
      </c>
      <c r="H13" s="5">
        <v>3448</v>
      </c>
      <c r="I13" s="5">
        <v>1378</v>
      </c>
      <c r="J13" s="23">
        <v>43.21</v>
      </c>
      <c r="K13" s="5">
        <v>1160</v>
      </c>
      <c r="L13" s="5">
        <v>347</v>
      </c>
      <c r="M13" s="5">
        <v>327</v>
      </c>
      <c r="N13" s="5">
        <v>8997</v>
      </c>
      <c r="O13" s="5">
        <v>3819</v>
      </c>
    </row>
    <row r="14" spans="1:15" x14ac:dyDescent="0.25">
      <c r="A14" s="4" t="s">
        <v>19</v>
      </c>
      <c r="B14" s="5">
        <v>41424</v>
      </c>
      <c r="C14" s="26">
        <v>2.64</v>
      </c>
      <c r="D14" s="5">
        <v>247</v>
      </c>
      <c r="E14" s="5">
        <v>120</v>
      </c>
      <c r="F14" s="5">
        <v>198</v>
      </c>
      <c r="G14" s="5">
        <v>139</v>
      </c>
      <c r="H14" s="5">
        <v>4696</v>
      </c>
      <c r="I14" s="5">
        <v>1061</v>
      </c>
      <c r="J14" s="23">
        <v>55.74</v>
      </c>
      <c r="K14" s="5">
        <v>1290</v>
      </c>
      <c r="L14" s="5">
        <v>680</v>
      </c>
      <c r="M14" s="5">
        <v>413</v>
      </c>
      <c r="N14" s="5">
        <v>6597</v>
      </c>
      <c r="O14" s="5">
        <v>2843</v>
      </c>
    </row>
    <row r="15" spans="1:15" x14ac:dyDescent="0.25">
      <c r="A15" s="6" t="s">
        <v>20</v>
      </c>
      <c r="B15" s="7">
        <f t="shared" ref="B15:O15" si="0">ROUND(AVERAGE(B5:B14),2)</f>
        <v>29293.599999999999</v>
      </c>
      <c r="C15" s="27">
        <f t="shared" si="0"/>
        <v>2.4</v>
      </c>
      <c r="D15" s="7">
        <f t="shared" si="0"/>
        <v>293.2</v>
      </c>
      <c r="E15" s="7">
        <f t="shared" si="0"/>
        <v>108.2</v>
      </c>
      <c r="F15" s="7">
        <f t="shared" si="0"/>
        <v>196.3</v>
      </c>
      <c r="G15" s="7">
        <f t="shared" si="0"/>
        <v>206.3</v>
      </c>
      <c r="H15" s="7">
        <f t="shared" si="0"/>
        <v>4482.6000000000004</v>
      </c>
      <c r="I15" s="7">
        <f t="shared" si="0"/>
        <v>1479.2</v>
      </c>
      <c r="J15" s="24">
        <f t="shared" si="0"/>
        <v>57.31</v>
      </c>
      <c r="K15" s="7">
        <f t="shared" si="0"/>
        <v>922</v>
      </c>
      <c r="L15" s="7">
        <f t="shared" si="0"/>
        <v>461.1</v>
      </c>
      <c r="M15" s="7">
        <f t="shared" si="0"/>
        <v>336.8</v>
      </c>
      <c r="N15" s="7">
        <f t="shared" si="0"/>
        <v>6177</v>
      </c>
      <c r="O15" s="7">
        <f t="shared" si="0"/>
        <v>3431.2</v>
      </c>
    </row>
    <row r="17" spans="1:5" ht="15.75" x14ac:dyDescent="0.25">
      <c r="A17" s="8" t="s">
        <v>21</v>
      </c>
    </row>
    <row r="18" spans="1:5" x14ac:dyDescent="0.25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</row>
    <row r="19" spans="1:5" ht="25.5" x14ac:dyDescent="0.25">
      <c r="A19" s="9" t="s">
        <v>247</v>
      </c>
      <c r="B19" s="4" t="s">
        <v>248</v>
      </c>
      <c r="C19" s="10" t="s">
        <v>249</v>
      </c>
      <c r="D19" s="13">
        <f>SUM(B5:B14)</f>
        <v>292936</v>
      </c>
      <c r="E19" s="12" t="s">
        <v>250</v>
      </c>
    </row>
    <row r="20" spans="1:5" ht="25.5" x14ac:dyDescent="0.25">
      <c r="A20" s="9" t="s">
        <v>251</v>
      </c>
      <c r="B20" s="4" t="s">
        <v>248</v>
      </c>
      <c r="C20" s="10" t="s">
        <v>252</v>
      </c>
      <c r="D20" s="28">
        <f>ROUND(AVERAGE(C5:C14),1)</f>
        <v>2.4</v>
      </c>
      <c r="E20" s="12" t="s">
        <v>253</v>
      </c>
    </row>
    <row r="21" spans="1:5" ht="25.5" x14ac:dyDescent="0.25">
      <c r="A21" s="9" t="s">
        <v>254</v>
      </c>
      <c r="B21" s="4" t="s">
        <v>248</v>
      </c>
      <c r="C21" s="10" t="s">
        <v>255</v>
      </c>
      <c r="D21" s="13">
        <f>SUM(D5:D14)</f>
        <v>2932</v>
      </c>
      <c r="E21" s="12" t="s">
        <v>256</v>
      </c>
    </row>
    <row r="22" spans="1:5" ht="25.5" x14ac:dyDescent="0.25">
      <c r="A22" s="9" t="s">
        <v>257</v>
      </c>
      <c r="B22" s="4" t="s">
        <v>248</v>
      </c>
      <c r="C22" s="10" t="s">
        <v>258</v>
      </c>
      <c r="D22" s="22">
        <f>ROUND(AVERAGE(E5:E14),1)</f>
        <v>108.2</v>
      </c>
      <c r="E22" s="12" t="s">
        <v>259</v>
      </c>
    </row>
    <row r="23" spans="1:5" ht="25.5" x14ac:dyDescent="0.25">
      <c r="A23" s="9" t="s">
        <v>260</v>
      </c>
      <c r="B23" s="4" t="s">
        <v>248</v>
      </c>
      <c r="C23" s="10" t="s">
        <v>261</v>
      </c>
      <c r="D23" s="13">
        <f>SUM(F5:F14)</f>
        <v>1963</v>
      </c>
      <c r="E23" s="12" t="s">
        <v>262</v>
      </c>
    </row>
    <row r="24" spans="1:5" ht="25.5" x14ac:dyDescent="0.25">
      <c r="A24" s="9" t="s">
        <v>263</v>
      </c>
      <c r="B24" s="4" t="s">
        <v>248</v>
      </c>
      <c r="C24" s="10" t="s">
        <v>264</v>
      </c>
      <c r="D24" s="11">
        <f>ROUND(SUM(G5:G14)/SUM(F5:F14)*100,2)</f>
        <v>105.09</v>
      </c>
      <c r="E24" s="12" t="s">
        <v>265</v>
      </c>
    </row>
    <row r="25" spans="1:5" ht="24" x14ac:dyDescent="0.25">
      <c r="A25" s="9" t="s">
        <v>266</v>
      </c>
      <c r="B25" s="4" t="s">
        <v>248</v>
      </c>
      <c r="C25" s="10" t="s">
        <v>267</v>
      </c>
      <c r="D25" s="13">
        <f>SUM(H5:H14)</f>
        <v>44826</v>
      </c>
      <c r="E25" s="12" t="s">
        <v>268</v>
      </c>
    </row>
    <row r="26" spans="1:5" ht="25.5" x14ac:dyDescent="0.25">
      <c r="A26" s="9" t="s">
        <v>269</v>
      </c>
      <c r="B26" s="4" t="s">
        <v>248</v>
      </c>
      <c r="C26" s="10" t="s">
        <v>270</v>
      </c>
      <c r="D26" s="25">
        <f>ROUND(AVERAGE(J5:J14),1)</f>
        <v>57.3</v>
      </c>
      <c r="E26" s="12" t="s">
        <v>271</v>
      </c>
    </row>
    <row r="27" spans="1:5" ht="25.5" x14ac:dyDescent="0.25">
      <c r="A27" s="9" t="s">
        <v>272</v>
      </c>
      <c r="B27" s="4" t="s">
        <v>248</v>
      </c>
      <c r="C27" s="10" t="s">
        <v>273</v>
      </c>
      <c r="D27" s="11">
        <f>ROUND(SUM(I5:I14)/SUM(H5:H14)*100,2)</f>
        <v>33</v>
      </c>
      <c r="E27" s="12" t="s">
        <v>274</v>
      </c>
    </row>
    <row r="28" spans="1:5" ht="25.5" x14ac:dyDescent="0.25">
      <c r="A28" s="9" t="s">
        <v>275</v>
      </c>
      <c r="B28" s="4" t="s">
        <v>248</v>
      </c>
      <c r="C28" s="10" t="s">
        <v>276</v>
      </c>
      <c r="D28" s="13">
        <f>SUM(K5:K14)</f>
        <v>9220</v>
      </c>
      <c r="E28" s="12" t="s">
        <v>277</v>
      </c>
    </row>
    <row r="29" spans="1:5" ht="25.5" x14ac:dyDescent="0.25">
      <c r="A29" s="9" t="s">
        <v>278</v>
      </c>
      <c r="B29" s="4" t="s">
        <v>248</v>
      </c>
      <c r="C29" s="10" t="s">
        <v>279</v>
      </c>
      <c r="D29" s="13">
        <f>SUM(L5:L14)</f>
        <v>4611</v>
      </c>
      <c r="E29" s="12" t="s">
        <v>280</v>
      </c>
    </row>
    <row r="30" spans="1:5" ht="25.5" x14ac:dyDescent="0.25">
      <c r="A30" s="9" t="s">
        <v>281</v>
      </c>
      <c r="B30" s="4" t="s">
        <v>248</v>
      </c>
      <c r="C30" s="10" t="s">
        <v>282</v>
      </c>
      <c r="D30" s="11">
        <f>ROUND(SUM(M5:M14)/SUM(N5:N14)*100,2)</f>
        <v>5.45</v>
      </c>
      <c r="E30" s="12" t="s">
        <v>283</v>
      </c>
    </row>
    <row r="31" spans="1:5" ht="25.5" x14ac:dyDescent="0.25">
      <c r="A31" s="9" t="s">
        <v>284</v>
      </c>
      <c r="B31" s="4" t="s">
        <v>248</v>
      </c>
      <c r="C31" s="10" t="s">
        <v>285</v>
      </c>
      <c r="D31" s="22">
        <f>ROUND(AVERAGE(O5:O14),1)</f>
        <v>3431.2</v>
      </c>
      <c r="E31" s="12" t="s">
        <v>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showGridLines="0" workbookViewId="0">
      <pane ySplit="4" topLeftCell="A5" activePane="bottomLeft" state="frozen"/>
      <selection activeCell="B25" sqref="B25"/>
      <selection pane="bottomLeft" activeCell="B25" sqref="B25"/>
    </sheetView>
  </sheetViews>
  <sheetFormatPr defaultRowHeight="15" x14ac:dyDescent="0.25"/>
  <cols>
    <col min="1" max="1" width="24" customWidth="1"/>
    <col min="2" max="2" width="11" bestFit="1" customWidth="1"/>
    <col min="3" max="3" width="24.140625" customWidth="1"/>
    <col min="4" max="4" width="20" customWidth="1"/>
    <col min="5" max="5" width="27.85546875" customWidth="1"/>
    <col min="6" max="8" width="11" customWidth="1"/>
  </cols>
  <sheetData>
    <row r="1" spans="1:8" ht="19.5" x14ac:dyDescent="0.3">
      <c r="A1" s="1" t="s">
        <v>287</v>
      </c>
    </row>
    <row r="2" spans="1:8" x14ac:dyDescent="0.25">
      <c r="A2" s="2" t="s">
        <v>1</v>
      </c>
    </row>
    <row r="4" spans="1:8" x14ac:dyDescent="0.25">
      <c r="A4" s="3" t="s">
        <v>2</v>
      </c>
      <c r="B4" s="3" t="s">
        <v>288</v>
      </c>
      <c r="C4" s="3" t="s">
        <v>289</v>
      </c>
      <c r="D4" s="3" t="s">
        <v>290</v>
      </c>
      <c r="E4" s="3" t="s">
        <v>291</v>
      </c>
      <c r="F4" s="3" t="s">
        <v>292</v>
      </c>
      <c r="G4" s="3" t="s">
        <v>293</v>
      </c>
      <c r="H4" s="3" t="s">
        <v>294</v>
      </c>
    </row>
    <row r="5" spans="1:8" x14ac:dyDescent="0.25">
      <c r="A5" s="4" t="s">
        <v>10</v>
      </c>
      <c r="B5" s="5">
        <v>1314</v>
      </c>
      <c r="C5" s="5">
        <v>216</v>
      </c>
      <c r="D5" s="5">
        <v>187</v>
      </c>
      <c r="E5" s="14">
        <v>5092.97</v>
      </c>
      <c r="F5" s="14">
        <v>400.54</v>
      </c>
      <c r="G5" s="29">
        <v>1.59</v>
      </c>
      <c r="H5" s="30">
        <v>5.76</v>
      </c>
    </row>
    <row r="6" spans="1:8" x14ac:dyDescent="0.25">
      <c r="A6" s="4" t="s">
        <v>11</v>
      </c>
      <c r="B6" s="5">
        <v>1284</v>
      </c>
      <c r="C6" s="5">
        <v>131</v>
      </c>
      <c r="D6" s="5">
        <v>239</v>
      </c>
      <c r="E6" s="14">
        <v>5181.58</v>
      </c>
      <c r="F6" s="14">
        <v>1362.3</v>
      </c>
      <c r="G6" s="29">
        <v>1.71</v>
      </c>
      <c r="H6" s="30">
        <v>5.31</v>
      </c>
    </row>
    <row r="7" spans="1:8" x14ac:dyDescent="0.25">
      <c r="A7" s="4" t="s">
        <v>12</v>
      </c>
      <c r="B7" s="5">
        <v>1084</v>
      </c>
      <c r="C7" s="5">
        <v>190</v>
      </c>
      <c r="D7" s="5">
        <v>135</v>
      </c>
      <c r="E7" s="14">
        <v>7428.92</v>
      </c>
      <c r="F7" s="14">
        <v>1366.15</v>
      </c>
      <c r="G7" s="29">
        <v>0.88</v>
      </c>
      <c r="H7" s="30">
        <v>8.43</v>
      </c>
    </row>
    <row r="8" spans="1:8" x14ac:dyDescent="0.25">
      <c r="A8" s="4" t="s">
        <v>13</v>
      </c>
      <c r="B8" s="5">
        <v>1217</v>
      </c>
      <c r="C8" s="5">
        <v>220</v>
      </c>
      <c r="D8" s="5">
        <v>160</v>
      </c>
      <c r="E8" s="14">
        <v>3745.08</v>
      </c>
      <c r="F8" s="14">
        <v>1360.34</v>
      </c>
      <c r="G8" s="29">
        <v>1.85</v>
      </c>
      <c r="H8" s="30">
        <v>5.56</v>
      </c>
    </row>
    <row r="9" spans="1:8" x14ac:dyDescent="0.25">
      <c r="A9" s="4" t="s">
        <v>14</v>
      </c>
      <c r="B9" s="5">
        <v>684</v>
      </c>
      <c r="C9" s="5">
        <v>97</v>
      </c>
      <c r="D9" s="5">
        <v>214</v>
      </c>
      <c r="E9" s="14">
        <v>5329.47</v>
      </c>
      <c r="F9" s="14">
        <v>1541.65</v>
      </c>
      <c r="G9" s="29">
        <v>1.46</v>
      </c>
      <c r="H9" s="30">
        <v>3.61</v>
      </c>
    </row>
    <row r="10" spans="1:8" x14ac:dyDescent="0.25">
      <c r="A10" s="4" t="s">
        <v>15</v>
      </c>
      <c r="B10" s="5">
        <v>1190</v>
      </c>
      <c r="C10" s="5">
        <v>128</v>
      </c>
      <c r="D10" s="5">
        <v>268</v>
      </c>
      <c r="E10" s="14">
        <v>10276.09</v>
      </c>
      <c r="F10" s="14">
        <v>1017.58</v>
      </c>
      <c r="G10" s="29">
        <v>1.56</v>
      </c>
      <c r="H10" s="30">
        <v>7.58</v>
      </c>
    </row>
    <row r="11" spans="1:8" x14ac:dyDescent="0.25">
      <c r="A11" s="4" t="s">
        <v>16</v>
      </c>
      <c r="B11" s="5">
        <v>1325</v>
      </c>
      <c r="C11" s="5">
        <v>246</v>
      </c>
      <c r="D11" s="5">
        <v>105</v>
      </c>
      <c r="E11" s="14">
        <v>5891.01</v>
      </c>
      <c r="F11" s="14">
        <v>1122.0999999999999</v>
      </c>
      <c r="G11" s="29">
        <v>0.95</v>
      </c>
      <c r="H11" s="30">
        <v>6.71</v>
      </c>
    </row>
    <row r="12" spans="1:8" x14ac:dyDescent="0.25">
      <c r="A12" s="4" t="s">
        <v>17</v>
      </c>
      <c r="B12" s="5">
        <v>681</v>
      </c>
      <c r="C12" s="5">
        <v>227</v>
      </c>
      <c r="D12" s="5">
        <v>195</v>
      </c>
      <c r="E12" s="14">
        <v>3934.6</v>
      </c>
      <c r="F12" s="14">
        <v>1195.29</v>
      </c>
      <c r="G12" s="29">
        <v>0.96</v>
      </c>
      <c r="H12" s="30">
        <v>3.57</v>
      </c>
    </row>
    <row r="13" spans="1:8" x14ac:dyDescent="0.25">
      <c r="A13" s="4" t="s">
        <v>18</v>
      </c>
      <c r="B13" s="5">
        <v>1035</v>
      </c>
      <c r="C13" s="5">
        <v>86</v>
      </c>
      <c r="D13" s="5">
        <v>138</v>
      </c>
      <c r="E13" s="14">
        <v>9924.31</v>
      </c>
      <c r="F13" s="14">
        <v>1237.8699999999999</v>
      </c>
      <c r="G13" s="29">
        <v>0.42</v>
      </c>
      <c r="H13" s="30">
        <v>8.2200000000000006</v>
      </c>
    </row>
    <row r="14" spans="1:8" x14ac:dyDescent="0.25">
      <c r="A14" s="4" t="s">
        <v>19</v>
      </c>
      <c r="B14" s="5">
        <v>615</v>
      </c>
      <c r="C14" s="5">
        <v>123</v>
      </c>
      <c r="D14" s="5">
        <v>263</v>
      </c>
      <c r="E14" s="14">
        <v>7962.12</v>
      </c>
      <c r="F14" s="14">
        <v>767.35</v>
      </c>
      <c r="G14" s="29">
        <v>1.08</v>
      </c>
      <c r="H14" s="30">
        <v>5.1100000000000003</v>
      </c>
    </row>
    <row r="15" spans="1:8" x14ac:dyDescent="0.25">
      <c r="A15" s="6" t="s">
        <v>20</v>
      </c>
      <c r="B15" s="7">
        <f t="shared" ref="B15:H15" si="0">ROUND(AVERAGE(B5:B14),2)</f>
        <v>1042.9000000000001</v>
      </c>
      <c r="C15" s="7">
        <f t="shared" si="0"/>
        <v>166.4</v>
      </c>
      <c r="D15" s="7">
        <f t="shared" si="0"/>
        <v>190.4</v>
      </c>
      <c r="E15" s="17">
        <f t="shared" si="0"/>
        <v>6476.62</v>
      </c>
      <c r="F15" s="17">
        <f t="shared" si="0"/>
        <v>1137.1199999999999</v>
      </c>
      <c r="G15" s="31">
        <f t="shared" si="0"/>
        <v>1.25</v>
      </c>
      <c r="H15" s="32">
        <f t="shared" si="0"/>
        <v>5.99</v>
      </c>
    </row>
    <row r="17" spans="1:5" ht="15.75" x14ac:dyDescent="0.25">
      <c r="A17" s="8" t="s">
        <v>21</v>
      </c>
    </row>
    <row r="18" spans="1:5" x14ac:dyDescent="0.25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</row>
    <row r="19" spans="1:5" ht="25.5" x14ac:dyDescent="0.25">
      <c r="A19" s="9" t="s">
        <v>295</v>
      </c>
      <c r="B19" s="4" t="s">
        <v>296</v>
      </c>
      <c r="C19" s="10" t="s">
        <v>297</v>
      </c>
      <c r="D19" s="13">
        <f>SUM(B5:B14)</f>
        <v>10429</v>
      </c>
      <c r="E19" s="12" t="s">
        <v>298</v>
      </c>
    </row>
    <row r="20" spans="1:5" ht="25.5" x14ac:dyDescent="0.25">
      <c r="A20" s="9" t="s">
        <v>299</v>
      </c>
      <c r="B20" s="4" t="s">
        <v>296</v>
      </c>
      <c r="C20" s="10" t="s">
        <v>300</v>
      </c>
      <c r="D20" s="13">
        <f>SUM(C5:C14)</f>
        <v>1664</v>
      </c>
      <c r="E20" s="12" t="s">
        <v>301</v>
      </c>
    </row>
    <row r="21" spans="1:5" ht="25.5" x14ac:dyDescent="0.25">
      <c r="A21" s="9" t="s">
        <v>302</v>
      </c>
      <c r="B21" s="4" t="s">
        <v>296</v>
      </c>
      <c r="C21" s="10" t="s">
        <v>303</v>
      </c>
      <c r="D21" s="13">
        <f>SUM(D5:D14)</f>
        <v>1904</v>
      </c>
      <c r="E21" s="12" t="s">
        <v>304</v>
      </c>
    </row>
    <row r="22" spans="1:5" ht="36" x14ac:dyDescent="0.25">
      <c r="A22" s="9" t="s">
        <v>305</v>
      </c>
      <c r="B22" s="4" t="s">
        <v>296</v>
      </c>
      <c r="C22" s="10" t="s">
        <v>306</v>
      </c>
      <c r="D22" s="21">
        <f>ROUND(SUM(E5:E14)/SUM(C5:C14),2)</f>
        <v>38.92</v>
      </c>
      <c r="E22" s="12" t="s">
        <v>307</v>
      </c>
    </row>
    <row r="23" spans="1:5" ht="36" x14ac:dyDescent="0.25">
      <c r="A23" s="9" t="s">
        <v>308</v>
      </c>
      <c r="B23" s="4" t="s">
        <v>296</v>
      </c>
      <c r="C23" s="10" t="s">
        <v>309</v>
      </c>
      <c r="D23" s="11">
        <f>ROUND(SUM(C5:C14)/SUM(B5:B14)*100,2)</f>
        <v>15.96</v>
      </c>
      <c r="E23" s="12" t="s">
        <v>310</v>
      </c>
    </row>
    <row r="24" spans="1:5" ht="25.5" x14ac:dyDescent="0.25">
      <c r="A24" s="9" t="s">
        <v>311</v>
      </c>
      <c r="B24" s="4" t="s">
        <v>296</v>
      </c>
      <c r="C24" s="10" t="s">
        <v>312</v>
      </c>
      <c r="D24" s="20">
        <f>ROUND(SUM(B5:B14)/SUM(D5:D14),2)</f>
        <v>5.48</v>
      </c>
      <c r="E24" s="12" t="s">
        <v>313</v>
      </c>
    </row>
    <row r="25" spans="1:5" ht="25.5" x14ac:dyDescent="0.25">
      <c r="A25" s="9" t="s">
        <v>314</v>
      </c>
      <c r="B25" s="4" t="s">
        <v>315</v>
      </c>
      <c r="C25" s="10" t="s">
        <v>316</v>
      </c>
      <c r="D25" s="21">
        <f>ROUND(AVERAGE(F5:F14)*AVERAGE(G5:G14)*AVERAGE(H5:H14),2)</f>
        <v>8481.25</v>
      </c>
      <c r="E25" s="12" t="s">
        <v>317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1"/>
  <sheetViews>
    <sheetView showGridLines="0" workbookViewId="0">
      <pane ySplit="4" topLeftCell="A5" activePane="bottomLeft" state="frozen"/>
      <selection activeCell="B25" sqref="B25"/>
      <selection pane="bottomLeft" activeCell="N21" sqref="N21"/>
    </sheetView>
  </sheetViews>
  <sheetFormatPr defaultRowHeight="15" x14ac:dyDescent="0.25"/>
  <cols>
    <col min="1" max="1" width="24" customWidth="1"/>
    <col min="2" max="2" width="8.140625" bestFit="1" customWidth="1"/>
    <col min="3" max="3" width="24.140625" customWidth="1"/>
    <col min="4" max="4" width="20" customWidth="1"/>
    <col min="5" max="5" width="27.85546875" customWidth="1"/>
    <col min="6" max="6" width="18.42578125" bestFit="1" customWidth="1"/>
    <col min="7" max="7" width="19.28515625" bestFit="1" customWidth="1"/>
    <col min="8" max="8" width="9" bestFit="1" customWidth="1"/>
    <col min="9" max="9" width="9.7109375" bestFit="1" customWidth="1"/>
    <col min="10" max="10" width="15.28515625" bestFit="1" customWidth="1"/>
    <col min="11" max="11" width="10.7109375" bestFit="1" customWidth="1"/>
    <col min="12" max="12" width="8.85546875" bestFit="1" customWidth="1"/>
    <col min="13" max="13" width="16" bestFit="1" customWidth="1"/>
    <col min="14" max="14" width="12.28515625" bestFit="1" customWidth="1"/>
    <col min="15" max="15" width="14.7109375" bestFit="1" customWidth="1"/>
    <col min="16" max="16" width="14.5703125" bestFit="1" customWidth="1"/>
    <col min="17" max="17" width="17.5703125" bestFit="1" customWidth="1"/>
  </cols>
  <sheetData>
    <row r="1" spans="1:17" ht="19.5" x14ac:dyDescent="0.3">
      <c r="A1" s="1" t="s">
        <v>318</v>
      </c>
    </row>
    <row r="2" spans="1:17" x14ac:dyDescent="0.25">
      <c r="A2" s="2" t="s">
        <v>1</v>
      </c>
    </row>
    <row r="4" spans="1:17" x14ac:dyDescent="0.25">
      <c r="A4" s="3" t="s">
        <v>2</v>
      </c>
      <c r="B4" s="3" t="s">
        <v>319</v>
      </c>
      <c r="C4" s="3" t="s">
        <v>320</v>
      </c>
      <c r="D4" s="3" t="s">
        <v>6</v>
      </c>
      <c r="E4" s="3" t="s">
        <v>321</v>
      </c>
      <c r="F4" s="3" t="s">
        <v>322</v>
      </c>
      <c r="G4" s="3" t="s">
        <v>323</v>
      </c>
      <c r="H4" s="3" t="s">
        <v>324</v>
      </c>
      <c r="I4" s="3" t="s">
        <v>325</v>
      </c>
      <c r="J4" s="3" t="s">
        <v>326</v>
      </c>
      <c r="K4" s="3" t="s">
        <v>327</v>
      </c>
      <c r="L4" s="3" t="s">
        <v>328</v>
      </c>
      <c r="M4" s="3" t="s">
        <v>329</v>
      </c>
      <c r="N4" s="3" t="s">
        <v>330</v>
      </c>
      <c r="O4" s="3" t="s">
        <v>331</v>
      </c>
      <c r="P4" s="3" t="s">
        <v>332</v>
      </c>
      <c r="Q4" s="3" t="s">
        <v>333</v>
      </c>
    </row>
    <row r="5" spans="1:17" x14ac:dyDescent="0.25">
      <c r="A5" s="4" t="s">
        <v>10</v>
      </c>
      <c r="B5" s="5">
        <v>1969</v>
      </c>
      <c r="C5" s="5">
        <v>21620</v>
      </c>
      <c r="D5" s="5">
        <v>44830</v>
      </c>
      <c r="E5" s="5">
        <v>32897</v>
      </c>
      <c r="F5" s="26">
        <v>30.86</v>
      </c>
      <c r="G5" s="5">
        <v>228</v>
      </c>
      <c r="H5" s="5">
        <v>999</v>
      </c>
      <c r="I5" s="5">
        <v>1007</v>
      </c>
      <c r="J5" s="5">
        <v>20337</v>
      </c>
      <c r="K5" s="5">
        <v>20903</v>
      </c>
      <c r="L5" s="5">
        <v>2349</v>
      </c>
      <c r="M5" s="5">
        <v>273</v>
      </c>
      <c r="N5" s="5">
        <v>19</v>
      </c>
      <c r="O5" s="14">
        <v>147879.65</v>
      </c>
      <c r="P5" s="14">
        <v>12476.04</v>
      </c>
      <c r="Q5" s="16">
        <v>3.12</v>
      </c>
    </row>
    <row r="6" spans="1:17" x14ac:dyDescent="0.25">
      <c r="A6" s="4" t="s">
        <v>11</v>
      </c>
      <c r="B6" s="5">
        <v>2971</v>
      </c>
      <c r="C6" s="5">
        <v>40745</v>
      </c>
      <c r="D6" s="5">
        <v>42467</v>
      </c>
      <c r="E6" s="5">
        <v>45867</v>
      </c>
      <c r="F6" s="26">
        <v>41.43</v>
      </c>
      <c r="G6" s="5">
        <v>151</v>
      </c>
      <c r="H6" s="5">
        <v>2359</v>
      </c>
      <c r="I6" s="5">
        <v>790</v>
      </c>
      <c r="J6" s="5">
        <v>21298</v>
      </c>
      <c r="K6" s="5">
        <v>18060</v>
      </c>
      <c r="L6" s="5">
        <v>3542</v>
      </c>
      <c r="M6" s="5">
        <v>454</v>
      </c>
      <c r="N6" s="5">
        <v>13</v>
      </c>
      <c r="O6" s="14">
        <v>130712.01</v>
      </c>
      <c r="P6" s="14">
        <v>22778.27</v>
      </c>
      <c r="Q6" s="16">
        <v>3.86</v>
      </c>
    </row>
    <row r="7" spans="1:17" x14ac:dyDescent="0.25">
      <c r="A7" s="4" t="s">
        <v>12</v>
      </c>
      <c r="B7" s="5">
        <v>2708</v>
      </c>
      <c r="C7" s="5">
        <v>19507</v>
      </c>
      <c r="D7" s="5">
        <v>25907</v>
      </c>
      <c r="E7" s="5">
        <v>38238</v>
      </c>
      <c r="F7" s="26">
        <v>34.33</v>
      </c>
      <c r="G7" s="5">
        <v>243</v>
      </c>
      <c r="H7" s="5">
        <v>1434</v>
      </c>
      <c r="I7" s="5">
        <v>1086</v>
      </c>
      <c r="J7" s="5">
        <v>24079</v>
      </c>
      <c r="K7" s="5">
        <v>19698</v>
      </c>
      <c r="L7" s="5">
        <v>5972</v>
      </c>
      <c r="M7" s="5">
        <v>425</v>
      </c>
      <c r="N7" s="5">
        <v>15</v>
      </c>
      <c r="O7" s="14">
        <v>130209.66</v>
      </c>
      <c r="P7" s="14">
        <v>20503.93</v>
      </c>
      <c r="Q7" s="16">
        <v>6.38</v>
      </c>
    </row>
    <row r="8" spans="1:17" x14ac:dyDescent="0.25">
      <c r="A8" s="4" t="s">
        <v>13</v>
      </c>
      <c r="B8" s="5">
        <v>3307</v>
      </c>
      <c r="C8" s="5">
        <v>24911</v>
      </c>
      <c r="D8" s="5">
        <v>55366</v>
      </c>
      <c r="E8" s="5">
        <v>34723</v>
      </c>
      <c r="F8" s="26">
        <v>28.03</v>
      </c>
      <c r="G8" s="5">
        <v>322</v>
      </c>
      <c r="H8" s="5">
        <v>1158</v>
      </c>
      <c r="I8" s="5">
        <v>989</v>
      </c>
      <c r="J8" s="5">
        <v>20353</v>
      </c>
      <c r="K8" s="5">
        <v>23014</v>
      </c>
      <c r="L8" s="5">
        <v>5823</v>
      </c>
      <c r="M8" s="5">
        <v>393</v>
      </c>
      <c r="N8" s="5">
        <v>32</v>
      </c>
      <c r="O8" s="14">
        <v>111962.33</v>
      </c>
      <c r="P8" s="14">
        <v>23905.91</v>
      </c>
      <c r="Q8" s="16">
        <v>4.97</v>
      </c>
    </row>
    <row r="9" spans="1:17" x14ac:dyDescent="0.25">
      <c r="A9" s="4" t="s">
        <v>14</v>
      </c>
      <c r="B9" s="5">
        <v>2814</v>
      </c>
      <c r="C9" s="5">
        <v>28949</v>
      </c>
      <c r="D9" s="5">
        <v>50879</v>
      </c>
      <c r="E9" s="5">
        <v>67787</v>
      </c>
      <c r="F9" s="26">
        <v>29.38</v>
      </c>
      <c r="G9" s="5">
        <v>299</v>
      </c>
      <c r="H9" s="5">
        <v>1003</v>
      </c>
      <c r="I9" s="5">
        <v>1201</v>
      </c>
      <c r="J9" s="5">
        <v>25824</v>
      </c>
      <c r="K9" s="5">
        <v>25938</v>
      </c>
      <c r="L9" s="5">
        <v>6110</v>
      </c>
      <c r="M9" s="5">
        <v>321</v>
      </c>
      <c r="N9" s="5">
        <v>18</v>
      </c>
      <c r="O9" s="14">
        <v>136805.69</v>
      </c>
      <c r="P9" s="14">
        <v>10451.26</v>
      </c>
      <c r="Q9" s="16">
        <v>4.3099999999999996</v>
      </c>
    </row>
    <row r="10" spans="1:17" x14ac:dyDescent="0.25">
      <c r="A10" s="4" t="s">
        <v>15</v>
      </c>
      <c r="B10" s="5">
        <v>1455</v>
      </c>
      <c r="C10" s="5">
        <v>20810</v>
      </c>
      <c r="D10" s="5">
        <v>25887</v>
      </c>
      <c r="E10" s="5">
        <v>60729</v>
      </c>
      <c r="F10" s="26">
        <v>21.1</v>
      </c>
      <c r="G10" s="5">
        <v>199</v>
      </c>
      <c r="H10" s="5">
        <v>1565</v>
      </c>
      <c r="I10" s="5">
        <v>1371</v>
      </c>
      <c r="J10" s="5">
        <v>20725</v>
      </c>
      <c r="K10" s="5">
        <v>21043</v>
      </c>
      <c r="L10" s="5">
        <v>4747</v>
      </c>
      <c r="M10" s="5">
        <v>471</v>
      </c>
      <c r="N10" s="5">
        <v>30</v>
      </c>
      <c r="O10" s="14">
        <v>150478.91</v>
      </c>
      <c r="P10" s="14">
        <v>15568.42</v>
      </c>
      <c r="Q10" s="16">
        <v>4.08</v>
      </c>
    </row>
    <row r="11" spans="1:17" x14ac:dyDescent="0.25">
      <c r="A11" s="4" t="s">
        <v>16</v>
      </c>
      <c r="B11" s="5">
        <v>2084</v>
      </c>
      <c r="C11" s="5">
        <v>39221</v>
      </c>
      <c r="D11" s="5">
        <v>54647</v>
      </c>
      <c r="E11" s="5">
        <v>36037</v>
      </c>
      <c r="F11" s="26">
        <v>22.23</v>
      </c>
      <c r="G11" s="5">
        <v>196</v>
      </c>
      <c r="H11" s="5">
        <v>1297</v>
      </c>
      <c r="I11" s="5">
        <v>985</v>
      </c>
      <c r="J11" s="5">
        <v>25302</v>
      </c>
      <c r="K11" s="5">
        <v>19365</v>
      </c>
      <c r="L11" s="5">
        <v>2020</v>
      </c>
      <c r="M11" s="5">
        <v>355</v>
      </c>
      <c r="N11" s="5">
        <v>18</v>
      </c>
      <c r="O11" s="14">
        <v>129643.89</v>
      </c>
      <c r="P11" s="14">
        <v>29061.96</v>
      </c>
      <c r="Q11" s="16">
        <v>5.45</v>
      </c>
    </row>
    <row r="12" spans="1:17" x14ac:dyDescent="0.25">
      <c r="A12" s="4" t="s">
        <v>17</v>
      </c>
      <c r="B12" s="5">
        <v>2601</v>
      </c>
      <c r="C12" s="5">
        <v>32822</v>
      </c>
      <c r="D12" s="5">
        <v>45638</v>
      </c>
      <c r="E12" s="5">
        <v>32160</v>
      </c>
      <c r="F12" s="26">
        <v>39.590000000000003</v>
      </c>
      <c r="G12" s="5">
        <v>327</v>
      </c>
      <c r="H12" s="5">
        <v>2387</v>
      </c>
      <c r="I12" s="5">
        <v>1298</v>
      </c>
      <c r="J12" s="5">
        <v>23531</v>
      </c>
      <c r="K12" s="5">
        <v>20591</v>
      </c>
      <c r="L12" s="5">
        <v>2518</v>
      </c>
      <c r="M12" s="5">
        <v>409</v>
      </c>
      <c r="N12" s="5">
        <v>10</v>
      </c>
      <c r="O12" s="14">
        <v>94714.33</v>
      </c>
      <c r="P12" s="14">
        <v>14175.26</v>
      </c>
      <c r="Q12" s="16">
        <v>2.81</v>
      </c>
    </row>
    <row r="13" spans="1:17" x14ac:dyDescent="0.25">
      <c r="A13" s="4" t="s">
        <v>18</v>
      </c>
      <c r="B13" s="5">
        <v>2022</v>
      </c>
      <c r="C13" s="5">
        <v>19262</v>
      </c>
      <c r="D13" s="5">
        <v>24007</v>
      </c>
      <c r="E13" s="5">
        <v>36051</v>
      </c>
      <c r="F13" s="26">
        <v>20.440000000000001</v>
      </c>
      <c r="G13" s="5">
        <v>227</v>
      </c>
      <c r="H13" s="5">
        <v>943</v>
      </c>
      <c r="I13" s="5">
        <v>1374</v>
      </c>
      <c r="J13" s="5">
        <v>25527</v>
      </c>
      <c r="K13" s="5">
        <v>18337</v>
      </c>
      <c r="L13" s="5">
        <v>3261</v>
      </c>
      <c r="M13" s="5">
        <v>337</v>
      </c>
      <c r="N13" s="5">
        <v>18</v>
      </c>
      <c r="O13" s="14">
        <v>98598.96</v>
      </c>
      <c r="P13" s="14">
        <v>26978.74</v>
      </c>
      <c r="Q13" s="16">
        <v>6.97</v>
      </c>
    </row>
    <row r="14" spans="1:17" x14ac:dyDescent="0.25">
      <c r="A14" s="4" t="s">
        <v>19</v>
      </c>
      <c r="B14" s="5">
        <v>2438</v>
      </c>
      <c r="C14" s="5">
        <v>29612</v>
      </c>
      <c r="D14" s="5">
        <v>26748</v>
      </c>
      <c r="E14" s="5">
        <v>34088</v>
      </c>
      <c r="F14" s="26">
        <v>26.22</v>
      </c>
      <c r="G14" s="5">
        <v>204</v>
      </c>
      <c r="H14" s="5">
        <v>2309</v>
      </c>
      <c r="I14" s="5">
        <v>661</v>
      </c>
      <c r="J14" s="5">
        <v>20208</v>
      </c>
      <c r="K14" s="5">
        <v>25559</v>
      </c>
      <c r="L14" s="5">
        <v>4641</v>
      </c>
      <c r="M14" s="5">
        <v>287</v>
      </c>
      <c r="N14" s="5">
        <v>23</v>
      </c>
      <c r="O14" s="14">
        <v>91892.97</v>
      </c>
      <c r="P14" s="14">
        <v>20562.189999999999</v>
      </c>
      <c r="Q14" s="16">
        <v>6.89</v>
      </c>
    </row>
    <row r="15" spans="1:17" x14ac:dyDescent="0.25">
      <c r="A15" s="6" t="s">
        <v>20</v>
      </c>
      <c r="B15" s="7">
        <f t="shared" ref="B15:Q15" si="0">ROUND(AVERAGE(B5:B14),2)</f>
        <v>2436.9</v>
      </c>
      <c r="C15" s="7">
        <f t="shared" si="0"/>
        <v>27745.9</v>
      </c>
      <c r="D15" s="7">
        <f t="shared" si="0"/>
        <v>39637.599999999999</v>
      </c>
      <c r="E15" s="7">
        <f t="shared" si="0"/>
        <v>41857.699999999997</v>
      </c>
      <c r="F15" s="27">
        <f t="shared" si="0"/>
        <v>29.36</v>
      </c>
      <c r="G15" s="7">
        <f t="shared" si="0"/>
        <v>239.6</v>
      </c>
      <c r="H15" s="7">
        <f t="shared" si="0"/>
        <v>1545.4</v>
      </c>
      <c r="I15" s="7">
        <f t="shared" si="0"/>
        <v>1076.2</v>
      </c>
      <c r="J15" s="7">
        <f t="shared" si="0"/>
        <v>22718.400000000001</v>
      </c>
      <c r="K15" s="7">
        <f t="shared" si="0"/>
        <v>21250.799999999999</v>
      </c>
      <c r="L15" s="7">
        <f t="shared" si="0"/>
        <v>4098.3</v>
      </c>
      <c r="M15" s="7">
        <f t="shared" si="0"/>
        <v>372.5</v>
      </c>
      <c r="N15" s="7">
        <f t="shared" si="0"/>
        <v>19.600000000000001</v>
      </c>
      <c r="O15" s="17">
        <f t="shared" si="0"/>
        <v>122289.84</v>
      </c>
      <c r="P15" s="17">
        <f t="shared" si="0"/>
        <v>19646.2</v>
      </c>
      <c r="Q15" s="19">
        <f t="shared" si="0"/>
        <v>4.88</v>
      </c>
    </row>
    <row r="17" spans="1:5" ht="15.75" x14ac:dyDescent="0.25">
      <c r="A17" s="8" t="s">
        <v>21</v>
      </c>
    </row>
    <row r="18" spans="1:5" x14ac:dyDescent="0.25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</row>
    <row r="19" spans="1:5" ht="24" x14ac:dyDescent="0.25">
      <c r="A19" s="9" t="s">
        <v>319</v>
      </c>
      <c r="B19" s="4" t="s">
        <v>334</v>
      </c>
      <c r="C19" s="10" t="s">
        <v>335</v>
      </c>
      <c r="D19" s="13">
        <f>ROUND(AVERAGE(B5:B14),0)</f>
        <v>2437</v>
      </c>
      <c r="E19" s="12" t="s">
        <v>336</v>
      </c>
    </row>
    <row r="20" spans="1:5" ht="24" x14ac:dyDescent="0.25">
      <c r="A20" s="9" t="s">
        <v>320</v>
      </c>
      <c r="B20" s="4" t="s">
        <v>334</v>
      </c>
      <c r="C20" s="10" t="s">
        <v>337</v>
      </c>
      <c r="D20" s="13">
        <f>ROUND(AVERAGE(C5:C14),0)</f>
        <v>27746</v>
      </c>
      <c r="E20" s="12" t="s">
        <v>338</v>
      </c>
    </row>
    <row r="21" spans="1:5" ht="25.5" x14ac:dyDescent="0.25">
      <c r="A21" s="9" t="s">
        <v>339</v>
      </c>
      <c r="B21" s="4" t="s">
        <v>334</v>
      </c>
      <c r="C21" s="10" t="s">
        <v>340</v>
      </c>
      <c r="D21" s="11">
        <f>ROUND(AVERAGE(B5:B14)/AVERAGE(C5:C14)*100,2)</f>
        <v>8.7799999999999994</v>
      </c>
      <c r="E21" s="12" t="s">
        <v>341</v>
      </c>
    </row>
    <row r="22" spans="1:5" ht="25.5" x14ac:dyDescent="0.25">
      <c r="A22" s="9" t="s">
        <v>342</v>
      </c>
      <c r="B22" s="4" t="s">
        <v>334</v>
      </c>
      <c r="C22" s="10" t="s">
        <v>343</v>
      </c>
      <c r="D22" s="20">
        <f>ROUND(SUM(D5:D14)/SUM(E5:E14),2)</f>
        <v>0.95</v>
      </c>
      <c r="E22" s="12" t="s">
        <v>344</v>
      </c>
    </row>
    <row r="23" spans="1:5" ht="25.5" x14ac:dyDescent="0.25">
      <c r="A23" s="9" t="s">
        <v>345</v>
      </c>
      <c r="B23" s="4" t="s">
        <v>334</v>
      </c>
      <c r="C23" s="10" t="s">
        <v>346</v>
      </c>
      <c r="D23" s="28">
        <f>ROUND(AVERAGE(F5:F14),1)</f>
        <v>29.4</v>
      </c>
      <c r="E23" s="12" t="s">
        <v>347</v>
      </c>
    </row>
    <row r="24" spans="1:5" ht="38.25" x14ac:dyDescent="0.25">
      <c r="A24" s="9" t="s">
        <v>348</v>
      </c>
      <c r="B24" s="4" t="s">
        <v>334</v>
      </c>
      <c r="C24" s="10" t="s">
        <v>349</v>
      </c>
      <c r="D24" s="13">
        <f>SUM(G5:G14)</f>
        <v>2396</v>
      </c>
      <c r="E24" s="12" t="s">
        <v>350</v>
      </c>
    </row>
    <row r="25" spans="1:5" ht="24" x14ac:dyDescent="0.25">
      <c r="A25" s="9" t="s">
        <v>351</v>
      </c>
      <c r="B25" s="4" t="s">
        <v>334</v>
      </c>
      <c r="C25" s="10" t="s">
        <v>352</v>
      </c>
      <c r="D25" s="13">
        <f>SUM(H5:H14)</f>
        <v>15454</v>
      </c>
      <c r="E25" s="12" t="s">
        <v>353</v>
      </c>
    </row>
    <row r="26" spans="1:5" ht="25.5" x14ac:dyDescent="0.25">
      <c r="A26" s="9" t="s">
        <v>354</v>
      </c>
      <c r="B26" s="4" t="s">
        <v>334</v>
      </c>
      <c r="C26" s="10" t="s">
        <v>355</v>
      </c>
      <c r="D26" s="11">
        <f>ROUND(SUM(I5:I14)/SUM(H5:H14)*100,2)</f>
        <v>69.64</v>
      </c>
      <c r="E26" s="12" t="s">
        <v>356</v>
      </c>
    </row>
    <row r="27" spans="1:5" ht="25.5" x14ac:dyDescent="0.25">
      <c r="A27" s="9" t="s">
        <v>357</v>
      </c>
      <c r="B27" s="4" t="s">
        <v>334</v>
      </c>
      <c r="C27" s="10" t="s">
        <v>358</v>
      </c>
      <c r="D27" s="11">
        <f>ROUND(SUM(K5:K14)/SUM(J5:J14)*100,2)</f>
        <v>93.54</v>
      </c>
      <c r="E27" s="12" t="s">
        <v>359</v>
      </c>
    </row>
    <row r="28" spans="1:5" ht="25.5" x14ac:dyDescent="0.25">
      <c r="A28" s="9" t="s">
        <v>360</v>
      </c>
      <c r="B28" s="4" t="s">
        <v>334</v>
      </c>
      <c r="C28" s="10" t="s">
        <v>361</v>
      </c>
      <c r="D28" s="11">
        <f>ROUND(SUM(L5:L14)/SUM(J5:J14)*100,2)</f>
        <v>18.04</v>
      </c>
      <c r="E28" s="12" t="s">
        <v>362</v>
      </c>
    </row>
    <row r="29" spans="1:5" ht="24" x14ac:dyDescent="0.25">
      <c r="A29" s="9" t="s">
        <v>363</v>
      </c>
      <c r="B29" s="4" t="s">
        <v>334</v>
      </c>
      <c r="C29" s="10" t="s">
        <v>364</v>
      </c>
      <c r="D29" s="11">
        <f>ROUND(SUM(N5:N14)/SUM(M5:M14)*100,2)</f>
        <v>5.26</v>
      </c>
      <c r="E29" s="12" t="s">
        <v>365</v>
      </c>
    </row>
    <row r="30" spans="1:5" ht="36" x14ac:dyDescent="0.25">
      <c r="A30" s="9" t="s">
        <v>366</v>
      </c>
      <c r="B30" s="4" t="s">
        <v>367</v>
      </c>
      <c r="C30" s="10" t="s">
        <v>368</v>
      </c>
      <c r="D30" s="11">
        <f>ROUND(SUM(P5:P14)/SUM(O5:O14)*100,2)</f>
        <v>16.07</v>
      </c>
      <c r="E30" s="12" t="s">
        <v>369</v>
      </c>
    </row>
    <row r="31" spans="1:5" ht="38.25" x14ac:dyDescent="0.25">
      <c r="A31" s="9" t="s">
        <v>370</v>
      </c>
      <c r="B31" s="4" t="s">
        <v>334</v>
      </c>
      <c r="C31" s="10" t="s">
        <v>371</v>
      </c>
      <c r="D31" s="33">
        <f>ROUND(AVERAGE(Q5:Q14),2)</f>
        <v>4.88</v>
      </c>
      <c r="E31" s="12" t="s">
        <v>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showGridLines="0" tabSelected="1" workbookViewId="0">
      <pane ySplit="4" topLeftCell="A5" activePane="bottomLeft" state="frozen"/>
      <selection pane="bottomLeft" activeCell="E34" sqref="E34"/>
    </sheetView>
  </sheetViews>
  <sheetFormatPr defaultRowHeight="15" x14ac:dyDescent="0.25"/>
  <cols>
    <col min="1" max="1" width="24" customWidth="1"/>
    <col min="2" max="2" width="11.7109375" bestFit="1" customWidth="1"/>
    <col min="3" max="3" width="24.140625" customWidth="1"/>
    <col min="4" max="4" width="20" customWidth="1"/>
    <col min="5" max="5" width="21.85546875" customWidth="1"/>
    <col min="6" max="6" width="13.42578125" bestFit="1" customWidth="1"/>
    <col min="7" max="7" width="11.7109375" bestFit="1" customWidth="1"/>
    <col min="8" max="8" width="16.5703125" bestFit="1" customWidth="1"/>
  </cols>
  <sheetData>
    <row r="1" spans="1:8" ht="19.5" x14ac:dyDescent="0.3">
      <c r="A1" s="1" t="s">
        <v>373</v>
      </c>
    </row>
    <row r="2" spans="1:8" x14ac:dyDescent="0.25">
      <c r="A2" s="2" t="s">
        <v>1</v>
      </c>
    </row>
    <row r="4" spans="1:8" x14ac:dyDescent="0.25">
      <c r="A4" s="3" t="s">
        <v>2</v>
      </c>
      <c r="B4" s="3" t="s">
        <v>374</v>
      </c>
      <c r="C4" s="3" t="s">
        <v>375</v>
      </c>
      <c r="D4" s="3" t="s">
        <v>321</v>
      </c>
      <c r="E4" s="3" t="s">
        <v>376</v>
      </c>
      <c r="F4" s="3" t="s">
        <v>294</v>
      </c>
      <c r="G4" s="3" t="s">
        <v>377</v>
      </c>
      <c r="H4" s="3" t="s">
        <v>55</v>
      </c>
    </row>
    <row r="5" spans="1:8" x14ac:dyDescent="0.25">
      <c r="A5" s="4" t="s">
        <v>10</v>
      </c>
      <c r="B5" s="14">
        <v>288011.76</v>
      </c>
      <c r="C5" s="5">
        <v>2534</v>
      </c>
      <c r="D5" s="5">
        <v>3832</v>
      </c>
      <c r="E5" s="29">
        <v>1.66</v>
      </c>
      <c r="F5" s="30">
        <v>2.85</v>
      </c>
      <c r="G5" s="14">
        <v>114744.1</v>
      </c>
      <c r="H5" s="14">
        <v>89954.68</v>
      </c>
    </row>
    <row r="6" spans="1:8" x14ac:dyDescent="0.25">
      <c r="A6" s="4" t="s">
        <v>11</v>
      </c>
      <c r="B6" s="14">
        <v>282819.28999999998</v>
      </c>
      <c r="C6" s="5">
        <v>1973</v>
      </c>
      <c r="D6" s="5">
        <v>5496</v>
      </c>
      <c r="E6" s="29">
        <v>1.28</v>
      </c>
      <c r="F6" s="30">
        <v>6.95</v>
      </c>
      <c r="G6" s="14">
        <v>109223.08</v>
      </c>
      <c r="H6" s="14">
        <v>81187.11</v>
      </c>
    </row>
    <row r="7" spans="1:8" x14ac:dyDescent="0.25">
      <c r="A7" s="4" t="s">
        <v>12</v>
      </c>
      <c r="B7" s="14">
        <v>246869.69</v>
      </c>
      <c r="C7" s="5">
        <v>1260</v>
      </c>
      <c r="D7" s="5">
        <v>3300</v>
      </c>
      <c r="E7" s="29">
        <v>1</v>
      </c>
      <c r="F7" s="30">
        <v>6.08</v>
      </c>
      <c r="G7" s="14">
        <v>180206.43</v>
      </c>
      <c r="H7" s="14">
        <v>57711.92</v>
      </c>
    </row>
    <row r="8" spans="1:8" x14ac:dyDescent="0.25">
      <c r="A8" s="4" t="s">
        <v>13</v>
      </c>
      <c r="B8" s="14">
        <v>254119.28</v>
      </c>
      <c r="C8" s="5">
        <v>1302</v>
      </c>
      <c r="D8" s="5">
        <v>8158</v>
      </c>
      <c r="E8" s="29">
        <v>0.69</v>
      </c>
      <c r="F8" s="30">
        <v>8.1999999999999993</v>
      </c>
      <c r="G8" s="14">
        <v>127720.51</v>
      </c>
      <c r="H8" s="14">
        <v>72363.839999999997</v>
      </c>
    </row>
    <row r="9" spans="1:8" x14ac:dyDescent="0.25">
      <c r="A9" s="4" t="s">
        <v>14</v>
      </c>
      <c r="B9" s="14">
        <v>321531.58</v>
      </c>
      <c r="C9" s="5">
        <v>2060</v>
      </c>
      <c r="D9" s="5">
        <v>5688</v>
      </c>
      <c r="E9" s="29">
        <v>1.57</v>
      </c>
      <c r="F9" s="30">
        <v>11.01</v>
      </c>
      <c r="G9" s="14">
        <v>148153.65</v>
      </c>
      <c r="H9" s="14">
        <v>45391.17</v>
      </c>
    </row>
    <row r="10" spans="1:8" x14ac:dyDescent="0.25">
      <c r="A10" s="4" t="s">
        <v>15</v>
      </c>
      <c r="B10" s="14">
        <v>239312.05</v>
      </c>
      <c r="C10" s="5">
        <v>2506</v>
      </c>
      <c r="D10" s="5">
        <v>5643</v>
      </c>
      <c r="E10" s="29">
        <v>0.89</v>
      </c>
      <c r="F10" s="30">
        <v>11.46</v>
      </c>
      <c r="G10" s="14">
        <v>147896.18</v>
      </c>
      <c r="H10" s="14">
        <v>75904.960000000006</v>
      </c>
    </row>
    <row r="11" spans="1:8" x14ac:dyDescent="0.25">
      <c r="A11" s="4" t="s">
        <v>16</v>
      </c>
      <c r="B11" s="14">
        <v>484287.91</v>
      </c>
      <c r="C11" s="5">
        <v>1350</v>
      </c>
      <c r="D11" s="5">
        <v>4983</v>
      </c>
      <c r="E11" s="29">
        <v>1.92</v>
      </c>
      <c r="F11" s="30">
        <v>3.35</v>
      </c>
      <c r="G11" s="14">
        <v>166429.53</v>
      </c>
      <c r="H11" s="14">
        <v>43076.06</v>
      </c>
    </row>
    <row r="12" spans="1:8" x14ac:dyDescent="0.25">
      <c r="A12" s="4" t="s">
        <v>17</v>
      </c>
      <c r="B12" s="14">
        <v>427054.38</v>
      </c>
      <c r="C12" s="5">
        <v>2079</v>
      </c>
      <c r="D12" s="5">
        <v>7950</v>
      </c>
      <c r="E12" s="29">
        <v>1.87</v>
      </c>
      <c r="F12" s="30">
        <v>7.04</v>
      </c>
      <c r="G12" s="14">
        <v>109764.82</v>
      </c>
      <c r="H12" s="14">
        <v>45808.31</v>
      </c>
    </row>
    <row r="13" spans="1:8" x14ac:dyDescent="0.25">
      <c r="A13" s="4" t="s">
        <v>18</v>
      </c>
      <c r="B13" s="14">
        <v>378616.06</v>
      </c>
      <c r="C13" s="5">
        <v>1742</v>
      </c>
      <c r="D13" s="5">
        <v>3557</v>
      </c>
      <c r="E13" s="29">
        <v>1.95</v>
      </c>
      <c r="F13" s="30">
        <v>7.07</v>
      </c>
      <c r="G13" s="14">
        <v>160129.48000000001</v>
      </c>
      <c r="H13" s="14">
        <v>49437.66</v>
      </c>
    </row>
    <row r="14" spans="1:8" x14ac:dyDescent="0.25">
      <c r="A14" s="4" t="s">
        <v>19</v>
      </c>
      <c r="B14" s="14">
        <v>293165.89</v>
      </c>
      <c r="C14" s="5">
        <v>871</v>
      </c>
      <c r="D14" s="5">
        <v>4916</v>
      </c>
      <c r="E14" s="29">
        <v>1</v>
      </c>
      <c r="F14" s="30">
        <v>6.23</v>
      </c>
      <c r="G14" s="14">
        <v>127692.61</v>
      </c>
      <c r="H14" s="14">
        <v>81384.44</v>
      </c>
    </row>
    <row r="15" spans="1:8" x14ac:dyDescent="0.25">
      <c r="A15" s="6" t="s">
        <v>20</v>
      </c>
      <c r="B15" s="17">
        <f t="shared" ref="B15:H15" si="0">ROUND(AVERAGE(B5:B14),2)</f>
        <v>321578.78999999998</v>
      </c>
      <c r="C15" s="7">
        <f t="shared" si="0"/>
        <v>1767.7</v>
      </c>
      <c r="D15" s="7">
        <f t="shared" si="0"/>
        <v>5352.3</v>
      </c>
      <c r="E15" s="31">
        <f t="shared" si="0"/>
        <v>1.38</v>
      </c>
      <c r="F15" s="32">
        <f t="shared" si="0"/>
        <v>7.02</v>
      </c>
      <c r="G15" s="17">
        <f t="shared" si="0"/>
        <v>139196.04</v>
      </c>
      <c r="H15" s="17">
        <f t="shared" si="0"/>
        <v>64222.02</v>
      </c>
    </row>
    <row r="17" spans="1:5" ht="15.75" x14ac:dyDescent="0.25">
      <c r="A17" s="8" t="s">
        <v>21</v>
      </c>
    </row>
    <row r="18" spans="1:5" x14ac:dyDescent="0.25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</row>
    <row r="19" spans="1:5" ht="25.5" x14ac:dyDescent="0.25">
      <c r="A19" s="9" t="s">
        <v>378</v>
      </c>
      <c r="B19" s="4" t="s">
        <v>379</v>
      </c>
      <c r="C19" s="10" t="s">
        <v>380</v>
      </c>
      <c r="D19" s="21">
        <f>SUM(B5:B14)</f>
        <v>3215787.89</v>
      </c>
      <c r="E19" s="12" t="s">
        <v>381</v>
      </c>
    </row>
    <row r="20" spans="1:5" ht="24" x14ac:dyDescent="0.25">
      <c r="A20" s="9" t="s">
        <v>382</v>
      </c>
      <c r="B20" s="4" t="s">
        <v>379</v>
      </c>
      <c r="C20" s="10" t="s">
        <v>383</v>
      </c>
      <c r="D20" s="21">
        <f>ROUND(SUM(B5:B14)/SUM(C5:C14),2)</f>
        <v>181.92</v>
      </c>
      <c r="E20" s="12" t="s">
        <v>384</v>
      </c>
    </row>
    <row r="21" spans="1:5" ht="24" x14ac:dyDescent="0.25">
      <c r="A21" s="9" t="s">
        <v>385</v>
      </c>
      <c r="B21" s="4" t="s">
        <v>379</v>
      </c>
      <c r="C21" s="10" t="s">
        <v>386</v>
      </c>
      <c r="D21" s="21">
        <f>ROUND(SUM(B5:B14)/SUM(D5:D14),2)</f>
        <v>60.08</v>
      </c>
      <c r="E21" s="12" t="s">
        <v>387</v>
      </c>
    </row>
    <row r="22" spans="1:5" ht="25.5" x14ac:dyDescent="0.25">
      <c r="A22" s="9" t="s">
        <v>388</v>
      </c>
      <c r="B22" s="4" t="s">
        <v>379</v>
      </c>
      <c r="C22" s="10" t="s">
        <v>389</v>
      </c>
      <c r="D22" s="21">
        <f>ROUND((SUM(B5:B14)/SUM(C5:C14))*AVERAGE(E5:E14)*AVERAGE(F5:F14),2)</f>
        <v>1767.2</v>
      </c>
      <c r="E22" s="12" t="s">
        <v>390</v>
      </c>
    </row>
    <row r="23" spans="1:5" ht="36" x14ac:dyDescent="0.25">
      <c r="A23" s="9" t="s">
        <v>391</v>
      </c>
      <c r="B23" s="4" t="s">
        <v>379</v>
      </c>
      <c r="C23" s="10" t="s">
        <v>392</v>
      </c>
      <c r="D23" s="11">
        <f>ROUND((SUM(B5:B14)-SUM(G5:G14))/SUM(B5:B14)*100,2)</f>
        <v>56.71</v>
      </c>
      <c r="E23" s="12" t="s">
        <v>393</v>
      </c>
    </row>
    <row r="24" spans="1:5" ht="36" x14ac:dyDescent="0.25">
      <c r="A24" s="9" t="s">
        <v>394</v>
      </c>
      <c r="B24" s="4" t="s">
        <v>379</v>
      </c>
      <c r="C24" s="10" t="s">
        <v>229</v>
      </c>
      <c r="D24" s="11">
        <f>ROUND((SUM(B5:B14)-SUM(G5:G14))/SUM(G5:G14)*100,2)</f>
        <v>131.03</v>
      </c>
      <c r="E24" s="12" t="s">
        <v>395</v>
      </c>
    </row>
    <row r="25" spans="1:5" ht="48" x14ac:dyDescent="0.25">
      <c r="A25" s="9" t="s">
        <v>396</v>
      </c>
      <c r="B25" s="4" t="s">
        <v>379</v>
      </c>
      <c r="C25" s="10" t="s">
        <v>397</v>
      </c>
      <c r="D25" s="11">
        <f>ROUND((SUM(B5:B14)-SUM(H5:H14))/SUM(H5:H14)*100,2)</f>
        <v>400.73</v>
      </c>
      <c r="E25" s="12" t="s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Загальні</vt:lpstr>
      <vt:lpstr>2_Paid</vt:lpstr>
      <vt:lpstr>3_SEO</vt:lpstr>
      <vt:lpstr>4_Email</vt:lpstr>
      <vt:lpstr>5_Content</vt:lpstr>
      <vt:lpstr>6_Referral</vt:lpstr>
      <vt:lpstr>7_Product</vt:lpstr>
      <vt:lpstr>8_Monetization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</cp:lastModifiedBy>
  <dcterms:created xsi:type="dcterms:W3CDTF">2026-08-09T09:24:08Z</dcterms:created>
  <dcterms:modified xsi:type="dcterms:W3CDTF">2026-08-09T09:32:53Z</dcterms:modified>
</cp:coreProperties>
</file>